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MP114\lectures\excel\completed\"/>
    </mc:Choice>
  </mc:AlternateContent>
  <xr:revisionPtr revIDLastSave="0" documentId="8_{170E9A50-0EE8-44E0-A188-8F758D8F8786}" xr6:coauthVersionLast="47" xr6:coauthVersionMax="47" xr10:uidLastSave="{00000000-0000-0000-0000-000000000000}"/>
  <bookViews>
    <workbookView xWindow="-120" yWindow="-120" windowWidth="29040" windowHeight="15720" xr2:uid="{ED49C0C7-2169-4BF8-92E3-939BA9D0AFC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L3" i="1" s="1"/>
  <c r="I3" i="1" a="1"/>
  <c r="I3" i="1" s="1"/>
  <c r="H3" i="1" a="1"/>
  <c r="H3" i="1" s="1"/>
  <c r="C11" i="1"/>
  <c r="D11" i="1"/>
  <c r="C12" i="1"/>
  <c r="D12" i="1"/>
  <c r="C13" i="1"/>
  <c r="D13" i="1"/>
  <c r="B13" i="1"/>
  <c r="B12" i="1"/>
  <c r="B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<sst xmlns="http://schemas.openxmlformats.org/spreadsheetml/2006/main" count="23" uniqueCount="14">
  <si>
    <t>Republican</t>
  </si>
  <si>
    <t>Democrat</t>
  </si>
  <si>
    <t>Independent</t>
  </si>
  <si>
    <t>Totals</t>
  </si>
  <si>
    <t>Men</t>
  </si>
  <si>
    <t>Women</t>
  </si>
  <si>
    <t>Non-Binary</t>
  </si>
  <si>
    <t>Expected Values</t>
  </si>
  <si>
    <t>Expected</t>
  </si>
  <si>
    <t>Chi Square</t>
  </si>
  <si>
    <t>Actual Values</t>
  </si>
  <si>
    <t>Actual</t>
  </si>
  <si>
    <t>alpha</t>
  </si>
  <si>
    <t>Reject H0?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</si>
</sst>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171450</xdr:rowOff>
    </xdr:from>
    <xdr:to>
      <xdr:col>5</xdr:col>
      <xdr:colOff>551012</xdr:colOff>
      <xdr:row>19</xdr:row>
      <xdr:rowOff>87905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6">
              <a:extLst>
                <a:ext uri="{FF2B5EF4-FFF2-40B4-BE49-F238E27FC236}">
                  <a16:creationId xmlns:a16="http://schemas.microsoft.com/office/drawing/2014/main" id="{E1D57587-9635-6D80-E2D4-37F218D20F69}"/>
                </a:ext>
              </a:extLst>
            </xdr:cNvPr>
            <xdr:cNvSpPr txBox="1"/>
          </xdr:nvSpPr>
          <xdr:spPr>
            <a:xfrm>
              <a:off x="0" y="3028950"/>
              <a:ext cx="3884762" cy="67845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US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US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b="0" i="1">
                                <a:latin typeface="Cambria Math" panose="02040503050406030204" pitchFamily="18" charset="0"/>
                              </a:rPr>
                              <m:t>𝑟𝑜𝑤</m:t>
                            </m:r>
                            <m:r>
                              <a:rPr lang="en-US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b="0" i="1">
                                <a:latin typeface="Cambria Math" panose="02040503050406030204" pitchFamily="18" charset="0"/>
                              </a:rPr>
                              <m:t>𝑡𝑜𝑡𝑎𝑙</m:t>
                            </m:r>
                          </m:e>
                        </m:d>
                        <m:d>
                          <m:dPr>
                            <m:ctrlPr>
                              <a:rPr lang="en-US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b="0" i="1">
                                <a:latin typeface="Cambria Math" panose="02040503050406030204" pitchFamily="18" charset="0"/>
                              </a:rPr>
                              <m:t>𝑐𝑜𝑙𝑢𝑚𝑛</m:t>
                            </m:r>
                            <m:r>
                              <a:rPr lang="en-US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b="0" i="1">
                                <a:latin typeface="Cambria Math" panose="02040503050406030204" pitchFamily="18" charset="0"/>
                              </a:rPr>
                              <m:t>𝑡𝑜𝑡𝑎𝑙</m:t>
                            </m:r>
                          </m:e>
                        </m:d>
                      </m:num>
                      <m:den>
                        <m:r>
                          <a:rPr lang="en-US" b="0" i="1">
                            <a:latin typeface="Cambria Math" panose="02040503050406030204" pitchFamily="18" charset="0"/>
                          </a:rPr>
                          <m:t>𝑔𝑟𝑎𝑛𝑑</m:t>
                        </m:r>
                        <m:r>
                          <a:rPr lang="en-US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den>
                    </m:f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2" name="TextBox 6">
              <a:extLst>
                <a:ext uri="{FF2B5EF4-FFF2-40B4-BE49-F238E27FC236}">
                  <a16:creationId xmlns:a16="http://schemas.microsoft.com/office/drawing/2014/main" id="{E1D57587-9635-6D80-E2D4-37F218D20F69}"/>
                </a:ext>
              </a:extLst>
            </xdr:cNvPr>
            <xdr:cNvSpPr txBox="1"/>
          </xdr:nvSpPr>
          <xdr:spPr>
            <a:xfrm>
              <a:off x="0" y="3028950"/>
              <a:ext cx="3884762" cy="67845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b="0" i="0">
                  <a:latin typeface="Cambria Math" panose="02040503050406030204" pitchFamily="18" charset="0"/>
                </a:rPr>
                <a:t>𝐸_(𝑖, 𝑗)=  (𝑟𝑜𝑤 𝑡𝑜𝑡𝑎𝑙)(𝑐𝑜𝑙𝑢𝑚𝑛 𝑡𝑜𝑡𝑎𝑙)/(𝑔𝑟𝑎𝑛𝑑 𝑡𝑜𝑡𝑎𝑙)</a:t>
              </a:r>
              <a:endParaRPr lang="en-US"/>
            </a:p>
          </xdr:txBody>
        </xdr:sp>
      </mc:Fallback>
    </mc:AlternateContent>
    <xdr:clientData/>
  </xdr:twoCellAnchor>
  <xdr:twoCellAnchor>
    <xdr:from>
      <xdr:col>3</xdr:col>
      <xdr:colOff>609600</xdr:colOff>
      <xdr:row>15</xdr:row>
      <xdr:rowOff>57150</xdr:rowOff>
    </xdr:from>
    <xdr:to>
      <xdr:col>13</xdr:col>
      <xdr:colOff>436626</xdr:colOff>
      <xdr:row>20</xdr:row>
      <xdr:rowOff>536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4">
              <a:extLst>
                <a:ext uri="{FF2B5EF4-FFF2-40B4-BE49-F238E27FC236}">
                  <a16:creationId xmlns:a16="http://schemas.microsoft.com/office/drawing/2014/main" id="{D9E406D3-8BAD-71B3-3D19-90785C9026FF}"/>
                </a:ext>
              </a:extLst>
            </xdr:cNvPr>
            <xdr:cNvSpPr txBox="1"/>
          </xdr:nvSpPr>
          <xdr:spPr>
            <a:xfrm>
              <a:off x="2714625" y="2914650"/>
              <a:ext cx="6151626" cy="895886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𝜒</m:t>
                        </m:r>
                      </m:e>
                      <m:sup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800" b="0" i="1">
                        <a:latin typeface="Cambria Math" panose="02040503050406030204" pitchFamily="18" charset="0"/>
                      </a:rPr>
                      <m:t>= </m:t>
                    </m:r>
                    <m:nary>
                      <m:naryPr>
                        <m:chr m:val="∑"/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8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𝑟</m:t>
                        </m:r>
                      </m:sup>
                      <m:e>
                        <m:nary>
                          <m:naryPr>
                            <m:chr m:val="∑"/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8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p>
                          <m:e>
                            <m:f>
                              <m:f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n-US" sz="18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  <m:t>𝑜𝑏𝑠</m:t>
                                            </m:r>
                                          </m:e>
                                          <m:sub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  <m:t>, </m:t>
                                            </m:r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  <m:t>𝑗</m:t>
                                            </m:r>
                                          </m:sub>
                                        </m:sSub>
                                        <m:r>
                                          <a:rPr lang="en-US" sz="1800" b="0" i="1">
                                            <a:latin typeface="Cambria Math" panose="02040503050406030204" pitchFamily="18" charset="0"/>
                                          </a:rPr>
                                          <m:t> − </m:t>
                                        </m:r>
                                        <m:sSub>
                                          <m:sSubPr>
                                            <m:ctrlP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  <m:t>𝑒𝑥𝑝</m:t>
                                            </m:r>
                                          </m:e>
                                          <m:sub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  <m:t>, </m:t>
                                            </m:r>
                                            <m:r>
                                              <a:rPr lang="en-US" sz="1800" b="0" i="1">
                                                <a:latin typeface="Cambria Math" panose="02040503050406030204" pitchFamily="18" charset="0"/>
                                              </a:rPr>
                                              <m:t>𝑗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  <m:sup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sSub>
                                  <m:sSubPr>
                                    <m:ctrlP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  <m:t>𝑒𝑥𝑝</m:t>
                                    </m:r>
                                  </m:e>
                                  <m:sub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  <m:t>, </m:t>
                                    </m:r>
                                    <m:r>
                                      <a:rPr lang="en-US" sz="1800" b="0" i="1">
                                        <a:latin typeface="Cambria Math" panose="02040503050406030204" pitchFamily="18" charset="0"/>
                                      </a:rPr>
                                      <m:t>𝑗</m:t>
                                    </m:r>
                                  </m:sub>
                                </m:sSub>
                              </m:den>
                            </m:f>
                          </m:e>
                        </m:nary>
                      </m:e>
                    </m:nary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3" name="TextBox 4">
              <a:extLst>
                <a:ext uri="{FF2B5EF4-FFF2-40B4-BE49-F238E27FC236}">
                  <a16:creationId xmlns:a16="http://schemas.microsoft.com/office/drawing/2014/main" id="{D9E406D3-8BAD-71B3-3D19-90785C9026FF}"/>
                </a:ext>
              </a:extLst>
            </xdr:cNvPr>
            <xdr:cNvSpPr txBox="1"/>
          </xdr:nvSpPr>
          <xdr:spPr>
            <a:xfrm>
              <a:off x="2714625" y="2914650"/>
              <a:ext cx="6151626" cy="895886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𝜒^</a:t>
              </a:r>
              <a:r>
                <a:rPr lang="en-US" sz="1800" b="0" i="0">
                  <a:latin typeface="Cambria Math" panose="02040503050406030204" pitchFamily="18" charset="0"/>
                </a:rPr>
                <a:t>2= ∑_(𝑖=𝑖)^𝑟▒∑_(𝑗=1)^𝑐▒(〖𝑜𝑏𝑠〗_(𝑖, 𝑗)  − 〖𝑒𝑥𝑝〗_(𝑖, 𝑗) )^2/〖𝑒𝑥𝑝〗_(𝑖, 𝑗) </a:t>
              </a:r>
              <a:endParaRPr lang="en-US"/>
            </a:p>
          </xdr:txBody>
        </xdr:sp>
      </mc:Fallback>
    </mc:AlternateContent>
    <xdr:clientData/>
  </xdr:twoCellAnchor>
  <xdr:twoCellAnchor>
    <xdr:from>
      <xdr:col>9</xdr:col>
      <xdr:colOff>200025</xdr:colOff>
      <xdr:row>3</xdr:row>
      <xdr:rowOff>133350</xdr:rowOff>
    </xdr:from>
    <xdr:to>
      <xdr:col>19</xdr:col>
      <xdr:colOff>17526</xdr:colOff>
      <xdr:row>7</xdr:row>
      <xdr:rowOff>17681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7">
              <a:extLst>
                <a:ext uri="{FF2B5EF4-FFF2-40B4-BE49-F238E27FC236}">
                  <a16:creationId xmlns:a16="http://schemas.microsoft.com/office/drawing/2014/main" id="{232F699F-39CA-9C00-B614-DCE2CDAFB542}"/>
                </a:ext>
              </a:extLst>
            </xdr:cNvPr>
            <xdr:cNvSpPr txBox="1"/>
          </xdr:nvSpPr>
          <xdr:spPr>
            <a:xfrm>
              <a:off x="6010275" y="704850"/>
              <a:ext cx="6094476" cy="646331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14:m>
                <m:oMath xmlns:m="http://schemas.openxmlformats.org/officeDocument/2006/math">
                  <m:sSub>
                    <m:sSubPr>
                      <m:ctrlPr>
                        <a:rPr lang="en-US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b="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n-US" b="0" i="1">
                          <a:latin typeface="Cambria Math" panose="02040503050406030204" pitchFamily="18" charset="0"/>
                        </a:rPr>
                        <m:t>𝑜</m:t>
                      </m:r>
                    </m:sub>
                  </m:sSub>
                  <m:r>
                    <a:rPr lang="en-US" b="0" i="1">
                      <a:latin typeface="Cambria Math" panose="02040503050406030204" pitchFamily="18" charset="0"/>
                    </a:rPr>
                    <m:t>:</m:t>
                  </m:r>
                  <m:r>
                    <a:rPr lang="en-US" b="0" i="1">
                      <a:latin typeface="Cambria Math" panose="02040503050406030204" pitchFamily="18" charset="0"/>
                    </a:rPr>
                    <m:t>𝑉𝑎𝑟𝑖𝑎𝑏𝑙𝑒𝑠</m:t>
                  </m:r>
                  <m:r>
                    <a:rPr lang="en-US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b="0" i="1">
                      <a:latin typeface="Cambria Math" panose="02040503050406030204" pitchFamily="18" charset="0"/>
                    </a:rPr>
                    <m:t>𝑎𝑟𝑒</m:t>
                  </m:r>
                  <m:r>
                    <a:rPr lang="en-US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b="0" i="1">
                      <a:latin typeface="Cambria Math" panose="02040503050406030204" pitchFamily="18" charset="0"/>
                    </a:rPr>
                    <m:t>𝐼𝑛𝑑𝑒𝑝𝑒𝑛𝑑𝑒𝑛𝑡</m:t>
                  </m:r>
                </m:oMath>
              </a14:m>
              <a:r>
                <a:rPr lang="en-US"/>
                <a:t>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b="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n-US" b="0" i="1">
                          <a:latin typeface="Cambria Math" panose="02040503050406030204" pitchFamily="18" charset="0"/>
                        </a:rPr>
                        <m:t>𝐴</m:t>
                      </m:r>
                    </m:sub>
                  </m:sSub>
                  <m:r>
                    <a:rPr lang="en-US" b="0" i="1">
                      <a:latin typeface="Cambria Math" panose="02040503050406030204" pitchFamily="18" charset="0"/>
                    </a:rPr>
                    <m:t>:</m:t>
                  </m:r>
                  <m:r>
                    <a:rPr lang="en-US" b="0" i="1">
                      <a:latin typeface="Cambria Math" panose="02040503050406030204" pitchFamily="18" charset="0"/>
                    </a:rPr>
                    <m:t>𝑉𝑎𝑟𝑖𝑎𝑏𝑙𝑒𝑠</m:t>
                  </m:r>
                  <m:r>
                    <a:rPr lang="en-US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b="0" i="1">
                      <a:latin typeface="Cambria Math" panose="02040503050406030204" pitchFamily="18" charset="0"/>
                    </a:rPr>
                    <m:t>𝑎𝑟𝑒</m:t>
                  </m:r>
                  <m:r>
                    <a:rPr lang="en-US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b="0" i="1">
                      <a:latin typeface="Cambria Math" panose="02040503050406030204" pitchFamily="18" charset="0"/>
                    </a:rPr>
                    <m:t>𝑁𝑜𝑡</m:t>
                  </m:r>
                  <m:r>
                    <a:rPr lang="en-US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b="0" i="1">
                      <a:latin typeface="Cambria Math" panose="02040503050406030204" pitchFamily="18" charset="0"/>
                    </a:rPr>
                    <m:t>𝐼𝑛𝑑𝑒𝑝𝑒𝑛𝑑𝑒𝑛𝑡</m:t>
                  </m:r>
                </m:oMath>
              </a14:m>
              <a:endParaRPr lang="en-US"/>
            </a:p>
          </xdr:txBody>
        </xdr:sp>
      </mc:Choice>
      <mc:Fallback xmlns="">
        <xdr:sp macro="" textlink="">
          <xdr:nvSpPr>
            <xdr:cNvPr id="5" name="TextBox 7">
              <a:extLst>
                <a:ext uri="{FF2B5EF4-FFF2-40B4-BE49-F238E27FC236}">
                  <a16:creationId xmlns:a16="http://schemas.microsoft.com/office/drawing/2014/main" id="{232F699F-39CA-9C00-B614-DCE2CDAFB542}"/>
                </a:ext>
              </a:extLst>
            </xdr:cNvPr>
            <xdr:cNvSpPr txBox="1"/>
          </xdr:nvSpPr>
          <xdr:spPr>
            <a:xfrm>
              <a:off x="6010275" y="704850"/>
              <a:ext cx="6094476" cy="646331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b="0" i="0">
                  <a:latin typeface="Cambria Math" panose="02040503050406030204" pitchFamily="18" charset="0"/>
                </a:rPr>
                <a:t>𝐻_𝑜:𝑉𝑎𝑟𝑖𝑎𝑏𝑙𝑒𝑠 𝑎𝑟𝑒 𝐼𝑛𝑑𝑒𝑝𝑒𝑛𝑑𝑒𝑛𝑡</a:t>
              </a:r>
              <a:r>
                <a:rPr lang="en-US"/>
                <a:t> </a:t>
              </a:r>
              <a:r>
                <a:rPr lang="en-US" b="0" i="0">
                  <a:latin typeface="Cambria Math" panose="02040503050406030204" pitchFamily="18" charset="0"/>
                </a:rPr>
                <a:t>𝐻_𝐴:𝑉𝑎𝑟𝑖𝑎𝑏𝑙𝑒𝑠 𝑎𝑟𝑒 𝑁𝑜𝑡 𝐼𝑛𝑑𝑒𝑝𝑒𝑛𝑑𝑒𝑛𝑡</a:t>
              </a:r>
              <a:endParaRPr lang="en-US"/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3736-467D-4C91-9CFC-956683DE8342}">
  <dimension ref="A1:L14"/>
  <sheetViews>
    <sheetView tabSelected="1" zoomScale="175" zoomScaleNormal="175" workbookViewId="0">
      <selection activeCell="G9" sqref="G9"/>
    </sheetView>
  </sheetViews>
  <sheetFormatPr defaultRowHeight="15" x14ac:dyDescent="0.25"/>
  <cols>
    <col min="1" max="2" width="11" bestFit="1" customWidth="1"/>
    <col min="3" max="3" width="9.5703125" bestFit="1" customWidth="1"/>
    <col min="4" max="4" width="12" bestFit="1" customWidth="1"/>
    <col min="5" max="5" width="6.42578125" bestFit="1" customWidth="1"/>
    <col min="8" max="8" width="9.7109375" bestFit="1" customWidth="1"/>
    <col min="10" max="10" width="11" bestFit="1" customWidth="1"/>
    <col min="12" max="12" width="10" bestFit="1" customWidth="1"/>
  </cols>
  <sheetData>
    <row r="1" spans="1:12" x14ac:dyDescent="0.25">
      <c r="A1" s="4" t="s">
        <v>10</v>
      </c>
      <c r="B1" s="4"/>
      <c r="C1" s="4"/>
      <c r="D1" s="4"/>
      <c r="E1" s="4"/>
    </row>
    <row r="2" spans="1:12" x14ac:dyDescent="0.25">
      <c r="B2" t="s">
        <v>0</v>
      </c>
      <c r="C2" t="s">
        <v>1</v>
      </c>
      <c r="D2" t="s">
        <v>2</v>
      </c>
      <c r="E2" t="s">
        <v>3</v>
      </c>
      <c r="H2" t="s">
        <v>11</v>
      </c>
      <c r="I2" t="s">
        <v>8</v>
      </c>
      <c r="J2" t="s">
        <v>9</v>
      </c>
      <c r="K2" t="s">
        <v>12</v>
      </c>
      <c r="L2" t="s">
        <v>13</v>
      </c>
    </row>
    <row r="3" spans="1:12" x14ac:dyDescent="0.25">
      <c r="A3" t="s">
        <v>4</v>
      </c>
      <c r="B3">
        <v>200</v>
      </c>
      <c r="C3">
        <v>130</v>
      </c>
      <c r="D3">
        <v>40</v>
      </c>
      <c r="E3">
        <v>370</v>
      </c>
      <c r="H3" cm="1">
        <f t="array" ref="H3:H11">_xlfn.TOCOL(B3:D5)</f>
        <v>200</v>
      </c>
      <c r="I3" cm="1">
        <f t="array" ref="I3:I11">_xlfn.TOCOL(B11:D13)</f>
        <v>162.80000000000001</v>
      </c>
      <c r="J3">
        <f>_xlfn.CHISQ.TEST(_xlfn.ANCHORARRAY(H3),_xlfn.ANCHORARRAY(I3))</f>
        <v>1.714596470677226E-10</v>
      </c>
      <c r="K3">
        <v>0.05</v>
      </c>
      <c r="L3" s="3" t="b">
        <f>J3&lt;K3</f>
        <v>1</v>
      </c>
    </row>
    <row r="4" spans="1:12" x14ac:dyDescent="0.25">
      <c r="A4" t="s">
        <v>5</v>
      </c>
      <c r="B4">
        <v>220</v>
      </c>
      <c r="C4">
        <v>280</v>
      </c>
      <c r="D4">
        <v>30</v>
      </c>
      <c r="E4">
        <v>530</v>
      </c>
      <c r="H4">
        <v>130</v>
      </c>
      <c r="I4">
        <v>173.9</v>
      </c>
    </row>
    <row r="5" spans="1:12" x14ac:dyDescent="0.25">
      <c r="A5" t="s">
        <v>6</v>
      </c>
      <c r="B5">
        <v>20</v>
      </c>
      <c r="C5">
        <v>60</v>
      </c>
      <c r="D5">
        <v>20</v>
      </c>
      <c r="E5">
        <v>100</v>
      </c>
      <c r="H5">
        <v>40</v>
      </c>
      <c r="I5">
        <v>33.299999999999997</v>
      </c>
    </row>
    <row r="6" spans="1:12" x14ac:dyDescent="0.25">
      <c r="A6" t="s">
        <v>3</v>
      </c>
      <c r="B6">
        <v>440</v>
      </c>
      <c r="C6">
        <v>470</v>
      </c>
      <c r="D6">
        <v>90</v>
      </c>
      <c r="E6">
        <v>1000</v>
      </c>
      <c r="H6">
        <v>220</v>
      </c>
      <c r="I6">
        <v>233.2</v>
      </c>
    </row>
    <row r="7" spans="1:12" x14ac:dyDescent="0.25">
      <c r="H7">
        <v>280</v>
      </c>
      <c r="I7">
        <v>249.1</v>
      </c>
    </row>
    <row r="8" spans="1:12" x14ac:dyDescent="0.25">
      <c r="H8">
        <v>30</v>
      </c>
      <c r="I8">
        <v>47.7</v>
      </c>
    </row>
    <row r="9" spans="1:12" x14ac:dyDescent="0.25">
      <c r="A9" s="4" t="s">
        <v>7</v>
      </c>
      <c r="B9" s="4"/>
      <c r="C9" s="4"/>
      <c r="D9" s="4"/>
      <c r="E9" s="4"/>
      <c r="H9">
        <v>20</v>
      </c>
      <c r="I9">
        <v>44</v>
      </c>
    </row>
    <row r="10" spans="1:12" x14ac:dyDescent="0.25">
      <c r="B10" t="s">
        <v>0</v>
      </c>
      <c r="C10" t="s">
        <v>1</v>
      </c>
      <c r="D10" t="s">
        <v>2</v>
      </c>
      <c r="E10" t="s">
        <v>3</v>
      </c>
      <c r="H10">
        <v>60</v>
      </c>
      <c r="I10">
        <v>47</v>
      </c>
    </row>
    <row r="11" spans="1:12" x14ac:dyDescent="0.25">
      <c r="A11" t="s">
        <v>4</v>
      </c>
      <c r="B11" s="1">
        <f>$E$11*B14/$E$14</f>
        <v>162.80000000000001</v>
      </c>
      <c r="C11" s="1">
        <f t="shared" ref="C11:D11" si="0">$E$11*C14/$E$14</f>
        <v>173.9</v>
      </c>
      <c r="D11" s="1">
        <f t="shared" si="0"/>
        <v>33.299999999999997</v>
      </c>
      <c r="E11" s="2">
        <v>370</v>
      </c>
      <c r="H11">
        <v>20</v>
      </c>
      <c r="I11">
        <v>9</v>
      </c>
    </row>
    <row r="12" spans="1:12" x14ac:dyDescent="0.25">
      <c r="A12" t="s">
        <v>5</v>
      </c>
      <c r="B12" s="1">
        <f>$E$12*B14/$E$14</f>
        <v>233.2</v>
      </c>
      <c r="C12" s="1">
        <f t="shared" ref="C12:D12" si="1">$E$12*C14/$E$14</f>
        <v>249.1</v>
      </c>
      <c r="D12" s="1">
        <f t="shared" si="1"/>
        <v>47.7</v>
      </c>
      <c r="E12" s="2">
        <v>530</v>
      </c>
    </row>
    <row r="13" spans="1:12" x14ac:dyDescent="0.25">
      <c r="A13" t="s">
        <v>6</v>
      </c>
      <c r="B13" s="1">
        <f>$E$13*B14/$E$14</f>
        <v>44</v>
      </c>
      <c r="C13" s="1">
        <f t="shared" ref="C13:D13" si="2">$E$13*C14/$E$14</f>
        <v>47</v>
      </c>
      <c r="D13" s="1">
        <f t="shared" si="2"/>
        <v>9</v>
      </c>
      <c r="E13" s="2">
        <v>100</v>
      </c>
    </row>
    <row r="14" spans="1:12" x14ac:dyDescent="0.25">
      <c r="A14" t="s">
        <v>3</v>
      </c>
      <c r="B14" s="2">
        <v>440</v>
      </c>
      <c r="C14" s="2">
        <v>470</v>
      </c>
      <c r="D14" s="2">
        <v>90</v>
      </c>
      <c r="E14" s="2">
        <v>1000</v>
      </c>
    </row>
  </sheetData>
  <mergeCells count="2">
    <mergeCell ref="A1:E1"/>
    <mergeCell ref="A9:E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1BA2-4358-4926-9A30-F8C75DCD10C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Parr</dc:creator>
  <cp:lastModifiedBy>Daniel Parr</cp:lastModifiedBy>
  <dcterms:created xsi:type="dcterms:W3CDTF">2026-04-23T21:41:20Z</dcterms:created>
  <dcterms:modified xsi:type="dcterms:W3CDTF">2026-04-30T23:05:36Z</dcterms:modified>
</cp:coreProperties>
</file>