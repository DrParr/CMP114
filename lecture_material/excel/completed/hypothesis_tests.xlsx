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CMP114\lectures\excel\completed\"/>
    </mc:Choice>
  </mc:AlternateContent>
  <xr:revisionPtr revIDLastSave="0" documentId="8_{2B130F81-ADF8-4D88-B98D-464B5E788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ep 1. F-test" sheetId="1" r:id="rId1"/>
    <sheet name="T-Test - Equal Var" sheetId="2" r:id="rId2"/>
    <sheet name="T-Test - Unequal Var" sheetId="3" r:id="rId3"/>
    <sheet name="Mann-Whitney" sheetId="4" r:id="rId4"/>
  </sheets>
  <definedNames>
    <definedName name="W">'Mann-Whitney'!$D$16:$D$16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9" i="3"/>
  <c r="C8" i="3"/>
  <c r="C5" i="3"/>
  <c r="C6" i="3"/>
  <c r="E9" i="4"/>
  <c r="E5" i="4"/>
  <c r="E6" i="4"/>
  <c r="E7" i="4"/>
  <c r="E8" i="4"/>
  <c r="E4" i="4"/>
  <c r="D5" i="4"/>
  <c r="D6" i="4"/>
  <c r="D7" i="4"/>
  <c r="D8" i="4"/>
  <c r="D9" i="4"/>
  <c r="D10" i="4"/>
  <c r="D4" i="4"/>
  <c r="E17" i="4"/>
  <c r="D17" i="4"/>
  <c r="E16" i="4"/>
  <c r="D16" i="4"/>
  <c r="C3" i="1"/>
  <c r="C2" i="1"/>
  <c r="C8" i="2"/>
  <c r="C5" i="2"/>
  <c r="H3" i="1" a="1"/>
  <c r="H3" i="1" s="1"/>
  <c r="C10" i="1"/>
  <c r="C19" i="4" l="1"/>
  <c r="C20" i="4"/>
  <c r="C3" i="3"/>
  <c r="C2" i="3"/>
  <c r="D10" i="1"/>
  <c r="B16" i="1"/>
  <c r="K6" i="1"/>
  <c r="K9" i="1" s="1"/>
  <c r="C24" i="4" l="1"/>
  <c r="C11" i="2"/>
  <c r="C17" i="2" s="1"/>
  <c r="C13" i="2"/>
  <c r="C15" i="2"/>
  <c r="C11" i="3"/>
  <c r="C15" i="3" s="1"/>
  <c r="C13" i="3"/>
  <c r="C18" i="2" l="1"/>
  <c r="B23" i="2" s="1"/>
  <c r="B22" i="2"/>
  <c r="C16" i="3"/>
  <c r="B21" i="3" s="1"/>
  <c r="B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<sst xmlns="http://schemas.openxmlformats.org/spreadsheetml/2006/main" count="68" uniqueCount="44">
  <si>
    <t>s_1</t>
  </si>
  <si>
    <t>bigger</t>
  </si>
  <si>
    <t>x1</t>
  </si>
  <si>
    <t>x2</t>
  </si>
  <si>
    <t>s_2</t>
  </si>
  <si>
    <t>smaller</t>
  </si>
  <si>
    <t>alpha</t>
  </si>
  <si>
    <t>df_1</t>
  </si>
  <si>
    <t>df_2</t>
  </si>
  <si>
    <t>F-test</t>
  </si>
  <si>
    <t>&lt;-pvalue</t>
  </si>
  <si>
    <t>Reject null hypothesis?</t>
  </si>
  <si>
    <t>Test Statistic</t>
  </si>
  <si>
    <t>F</t>
  </si>
  <si>
    <t>Two-Tailed F Dist</t>
  </si>
  <si>
    <t>F-crit</t>
  </si>
  <si>
    <t>Reject Null Hypothesis?</t>
  </si>
  <si>
    <t>xbar1</t>
  </si>
  <si>
    <t>xbar2</t>
  </si>
  <si>
    <t>s1</t>
  </si>
  <si>
    <t>n1</t>
  </si>
  <si>
    <t>s2</t>
  </si>
  <si>
    <t>n2</t>
  </si>
  <si>
    <t>df</t>
  </si>
  <si>
    <t>Sp^2</t>
  </si>
  <si>
    <t>Pooled Standard Error</t>
  </si>
  <si>
    <t>T</t>
  </si>
  <si>
    <t>Tcrit</t>
  </si>
  <si>
    <t>pvalue</t>
  </si>
  <si>
    <t>Reject Null Hypothesis</t>
  </si>
  <si>
    <t>alpha=0.05</t>
  </si>
  <si>
    <t>Rank(x1)</t>
  </si>
  <si>
    <t>Rank(x2)</t>
  </si>
  <si>
    <t>R1</t>
  </si>
  <si>
    <t>R2</t>
  </si>
  <si>
    <t>Sum</t>
  </si>
  <si>
    <t>n</t>
  </si>
  <si>
    <t>U</t>
  </si>
  <si>
    <t>&lt;-</t>
  </si>
  <si>
    <t>Use the smaller of these two</t>
  </si>
  <si>
    <t>U'</t>
  </si>
  <si>
    <t>Utest</t>
  </si>
  <si>
    <t>From the table at the right</t>
  </si>
  <si>
    <t>Reject H0?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</si>
</sst>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16</xdr:row>
      <xdr:rowOff>180975</xdr:rowOff>
    </xdr:from>
    <xdr:to>
      <xdr:col>4</xdr:col>
      <xdr:colOff>19050</xdr:colOff>
      <xdr:row>24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7E633-6FC9-48B7-652E-E42908F9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6534" t="16517" r="24434" b="14366"/>
        <a:stretch>
          <a:fillRect/>
        </a:stretch>
      </xdr:blipFill>
      <xdr:spPr>
        <a:xfrm>
          <a:off x="219075" y="3228975"/>
          <a:ext cx="2238375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6"/>
  <sheetViews>
    <sheetView tabSelected="1" workbookViewId="0">
      <selection activeCell="K16" sqref="K16"/>
    </sheetView>
  </sheetViews>
  <sheetFormatPr defaultRowHeight="15" x14ac:dyDescent="0.25"/>
  <sheetData>
    <row r="2" spans="2:12" x14ac:dyDescent="0.25">
      <c r="B2" t="s">
        <v>0</v>
      </c>
      <c r="C2">
        <f>SQRT(0.0003)</f>
        <v>1.7320508075688773E-2</v>
      </c>
      <c r="D2" t="s">
        <v>1</v>
      </c>
      <c r="H2" t="s">
        <v>2</v>
      </c>
      <c r="I2" t="s">
        <v>3</v>
      </c>
    </row>
    <row r="3" spans="2:12" x14ac:dyDescent="0.25">
      <c r="B3" t="s">
        <v>4</v>
      </c>
      <c r="C3">
        <f>SQRT(0.0001)</f>
        <v>0.01</v>
      </c>
      <c r="D3" t="s">
        <v>5</v>
      </c>
      <c r="H3" cm="1">
        <f t="array" aca="1" ref="H3:I12" ca="1">_xlfn.RANDARRAY(10,2,-10,10)</f>
        <v>-6.9737006076652843</v>
      </c>
      <c r="I3">
        <f ca="1"/>
        <v>-1.282262054789399</v>
      </c>
      <c r="K3" t="s">
        <v>6</v>
      </c>
      <c r="L3">
        <v>0.05</v>
      </c>
    </row>
    <row r="4" spans="2:12" x14ac:dyDescent="0.25">
      <c r="B4" t="s">
        <v>7</v>
      </c>
      <c r="C4">
        <v>9</v>
      </c>
      <c r="H4">
        <f ca="1"/>
        <v>-3.2936486040795874</v>
      </c>
      <c r="I4">
        <f ca="1"/>
        <v>-9.1783571612341408</v>
      </c>
    </row>
    <row r="5" spans="2:12" x14ac:dyDescent="0.25">
      <c r="B5" t="s">
        <v>8</v>
      </c>
      <c r="C5">
        <v>9</v>
      </c>
      <c r="H5">
        <f ca="1"/>
        <v>5.9093959259624995</v>
      </c>
      <c r="I5">
        <f ca="1"/>
        <v>-6.0706939889949663</v>
      </c>
      <c r="K5" t="s">
        <v>9</v>
      </c>
    </row>
    <row r="6" spans="2:12" x14ac:dyDescent="0.25">
      <c r="H6">
        <f ca="1"/>
        <v>-2.4170854253956513</v>
      </c>
      <c r="I6">
        <f ca="1"/>
        <v>7.8472167899943752</v>
      </c>
      <c r="K6">
        <f ca="1">_xlfn.F.TEST(H3:H12,I3:I12)</f>
        <v>0.19001684015471965</v>
      </c>
      <c r="L6" t="s">
        <v>10</v>
      </c>
    </row>
    <row r="7" spans="2:12" x14ac:dyDescent="0.25">
      <c r="B7" t="s">
        <v>6</v>
      </c>
      <c r="C7">
        <v>0.05</v>
      </c>
      <c r="H7">
        <f ca="1"/>
        <v>3.6619994488638454</v>
      </c>
      <c r="I7">
        <f ca="1"/>
        <v>-4.4375309723368712</v>
      </c>
    </row>
    <row r="8" spans="2:12" x14ac:dyDescent="0.25">
      <c r="H8">
        <f ca="1"/>
        <v>3.1512371026541963</v>
      </c>
      <c r="I8">
        <f ca="1"/>
        <v>-2.183466995689761</v>
      </c>
      <c r="K8" t="s">
        <v>11</v>
      </c>
    </row>
    <row r="9" spans="2:12" x14ac:dyDescent="0.25">
      <c r="B9" t="s">
        <v>12</v>
      </c>
      <c r="H9">
        <f ca="1"/>
        <v>1.780579593920379</v>
      </c>
      <c r="I9">
        <f ca="1"/>
        <v>9.2495857701315582</v>
      </c>
      <c r="K9" t="b">
        <f ca="1">K6&lt;L3</f>
        <v>0</v>
      </c>
    </row>
    <row r="10" spans="2:12" x14ac:dyDescent="0.25">
      <c r="B10" t="s">
        <v>13</v>
      </c>
      <c r="C10">
        <f>C2^2/C3^2</f>
        <v>3</v>
      </c>
      <c r="D10" t="b">
        <f>C10&gt;=1</f>
        <v>1</v>
      </c>
      <c r="H10">
        <f ca="1"/>
        <v>-1.3402906168653264</v>
      </c>
      <c r="I10">
        <f ca="1"/>
        <v>-5.8968178961475743</v>
      </c>
    </row>
    <row r="11" spans="2:12" x14ac:dyDescent="0.25">
      <c r="H11">
        <f ca="1"/>
        <v>2.7126023625129161</v>
      </c>
      <c r="I11">
        <f ca="1"/>
        <v>-9.1744268263352691</v>
      </c>
    </row>
    <row r="12" spans="2:12" x14ac:dyDescent="0.25">
      <c r="B12" t="s">
        <v>14</v>
      </c>
      <c r="H12">
        <f ca="1"/>
        <v>4.8047990299896277</v>
      </c>
      <c r="I12">
        <f ca="1"/>
        <v>-6.6360569701835121</v>
      </c>
    </row>
    <row r="13" spans="2:12" x14ac:dyDescent="0.25">
      <c r="B13" t="s">
        <v>15</v>
      </c>
      <c r="C13">
        <f>_xlfn.F.INV(1-(C7/2),C4,C5)</f>
        <v>4.0259941582829777</v>
      </c>
    </row>
    <row r="15" spans="2:12" x14ac:dyDescent="0.25">
      <c r="B15" t="s">
        <v>16</v>
      </c>
    </row>
    <row r="16" spans="2:12" x14ac:dyDescent="0.25">
      <c r="B16" t="b">
        <f>C10&gt;C13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7364-0977-4F0C-9810-2D9AF9D91563}">
  <dimension ref="B2:H23"/>
  <sheetViews>
    <sheetView workbookViewId="0">
      <selection activeCell="C9" sqref="C9"/>
    </sheetView>
  </sheetViews>
  <sheetFormatPr defaultRowHeight="15" x14ac:dyDescent="0.25"/>
  <sheetData>
    <row r="2" spans="2:8" x14ac:dyDescent="0.25">
      <c r="B2" t="s">
        <v>17</v>
      </c>
      <c r="C2">
        <v>35.22</v>
      </c>
      <c r="E2" t="s">
        <v>6</v>
      </c>
      <c r="G2" t="s">
        <v>2</v>
      </c>
      <c r="H2" t="s">
        <v>3</v>
      </c>
    </row>
    <row r="3" spans="2:8" x14ac:dyDescent="0.25">
      <c r="B3" t="s">
        <v>18</v>
      </c>
      <c r="C3">
        <v>31.56</v>
      </c>
      <c r="E3">
        <v>0.05</v>
      </c>
      <c r="G3">
        <v>220.1</v>
      </c>
    </row>
    <row r="5" spans="2:8" x14ac:dyDescent="0.25">
      <c r="B5" t="s">
        <v>19</v>
      </c>
      <c r="C5">
        <f>SQRT(195.56/8)</f>
        <v>4.9441885077330943</v>
      </c>
    </row>
    <row r="6" spans="2:8" x14ac:dyDescent="0.25">
      <c r="B6" t="s">
        <v>20</v>
      </c>
      <c r="C6">
        <v>9</v>
      </c>
    </row>
    <row r="8" spans="2:8" x14ac:dyDescent="0.25">
      <c r="B8" t="s">
        <v>21</v>
      </c>
      <c r="C8">
        <f>SQRT(160.22/8)</f>
        <v>4.4752094923031258</v>
      </c>
    </row>
    <row r="9" spans="2:8" x14ac:dyDescent="0.25">
      <c r="B9" t="s">
        <v>22</v>
      </c>
      <c r="C9">
        <v>9</v>
      </c>
    </row>
    <row r="11" spans="2:8" x14ac:dyDescent="0.25">
      <c r="B11" t="s">
        <v>23</v>
      </c>
      <c r="C11">
        <f>C6+C9-2</f>
        <v>16</v>
      </c>
    </row>
    <row r="13" spans="2:8" x14ac:dyDescent="0.25">
      <c r="B13" t="s">
        <v>24</v>
      </c>
      <c r="C13">
        <f>((C6-1)*C5^2 + (C9-1)*C8^2)/C11</f>
        <v>22.236249999999998</v>
      </c>
      <c r="D13" t="s">
        <v>25</v>
      </c>
    </row>
    <row r="15" spans="2:8" x14ac:dyDescent="0.25">
      <c r="B15" t="s">
        <v>26</v>
      </c>
      <c r="C15">
        <f>(C2-C3)/SQRT((C13/C6)+(C13/C9))</f>
        <v>1.6464804116046947</v>
      </c>
    </row>
    <row r="17" spans="2:3" x14ac:dyDescent="0.25">
      <c r="B17" t="s">
        <v>27</v>
      </c>
      <c r="C17">
        <f>_xlfn.T.INV.2T(E3,C11)</f>
        <v>2.119905299221255</v>
      </c>
    </row>
    <row r="18" spans="2:3" x14ac:dyDescent="0.25">
      <c r="B18" t="s">
        <v>28</v>
      </c>
      <c r="C18">
        <f>_xlfn.T.DIST.2T(ABS(C15),C11)</f>
        <v>0.1191622858789807</v>
      </c>
    </row>
    <row r="21" spans="2:3" x14ac:dyDescent="0.25">
      <c r="B21" t="s">
        <v>29</v>
      </c>
    </row>
    <row r="22" spans="2:3" x14ac:dyDescent="0.25">
      <c r="B22" t="b">
        <f>ABS(C15)&gt;C17</f>
        <v>0</v>
      </c>
    </row>
    <row r="23" spans="2:3" x14ac:dyDescent="0.25">
      <c r="B23" t="b">
        <f>C18&lt;E3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FD81-B8AD-4972-AC93-BB0705D48CEF}">
  <dimension ref="B2:H21"/>
  <sheetViews>
    <sheetView workbookViewId="0">
      <selection activeCell="F26" sqref="F26"/>
    </sheetView>
  </sheetViews>
  <sheetFormatPr defaultRowHeight="15" x14ac:dyDescent="0.25"/>
  <sheetData>
    <row r="2" spans="2:8" x14ac:dyDescent="0.25">
      <c r="B2" t="s">
        <v>17</v>
      </c>
      <c r="C2">
        <f>AVERAGE(G3:G12)</f>
        <v>117.85714285714286</v>
      </c>
      <c r="E2" t="s">
        <v>6</v>
      </c>
      <c r="G2" t="s">
        <v>2</v>
      </c>
      <c r="H2" t="s">
        <v>3</v>
      </c>
    </row>
    <row r="3" spans="2:8" x14ac:dyDescent="0.25">
      <c r="B3" t="s">
        <v>18</v>
      </c>
      <c r="C3">
        <f>AVERAGE(H3:H12)</f>
        <v>118.125</v>
      </c>
      <c r="E3">
        <v>0.05</v>
      </c>
      <c r="G3">
        <v>120</v>
      </c>
      <c r="H3">
        <v>116</v>
      </c>
    </row>
    <row r="4" spans="2:8" x14ac:dyDescent="0.25">
      <c r="G4">
        <v>113</v>
      </c>
      <c r="H4">
        <v>117</v>
      </c>
    </row>
    <row r="5" spans="2:8" x14ac:dyDescent="0.25">
      <c r="B5" t="s">
        <v>19</v>
      </c>
      <c r="C5">
        <f>_xlfn.STDEV.S(G3:G9)</f>
        <v>4.0590873945002057</v>
      </c>
      <c r="G5">
        <v>125</v>
      </c>
      <c r="H5">
        <v>121</v>
      </c>
    </row>
    <row r="6" spans="2:8" x14ac:dyDescent="0.25">
      <c r="B6" t="s">
        <v>20</v>
      </c>
      <c r="C6">
        <f>COUNT(G3:G9)</f>
        <v>7</v>
      </c>
      <c r="G6">
        <v>118</v>
      </c>
      <c r="H6">
        <v>114</v>
      </c>
    </row>
    <row r="7" spans="2:8" x14ac:dyDescent="0.25">
      <c r="G7">
        <v>116</v>
      </c>
      <c r="H7">
        <v>116</v>
      </c>
    </row>
    <row r="8" spans="2:8" x14ac:dyDescent="0.25">
      <c r="B8" t="s">
        <v>21</v>
      </c>
      <c r="C8">
        <f>_xlfn.STDEV.S(H3:H10)</f>
        <v>2.997022331772464</v>
      </c>
      <c r="G8">
        <v>114</v>
      </c>
      <c r="H8">
        <v>118</v>
      </c>
    </row>
    <row r="9" spans="2:8" x14ac:dyDescent="0.25">
      <c r="B9" t="s">
        <v>22</v>
      </c>
      <c r="C9">
        <f>COUNT(H3:H10)</f>
        <v>8</v>
      </c>
      <c r="G9">
        <v>119</v>
      </c>
      <c r="H9">
        <v>123</v>
      </c>
    </row>
    <row r="10" spans="2:8" x14ac:dyDescent="0.25">
      <c r="H10">
        <v>120</v>
      </c>
    </row>
    <row r="11" spans="2:8" x14ac:dyDescent="0.25">
      <c r="B11" t="s">
        <v>23</v>
      </c>
      <c r="C11">
        <f>C6+C9-2</f>
        <v>13</v>
      </c>
    </row>
    <row r="13" spans="2:8" x14ac:dyDescent="0.25">
      <c r="B13" t="s">
        <v>26</v>
      </c>
      <c r="C13">
        <f>(C2-C3)/SQRT((C5^2/C6)+(C8^2/C9))</f>
        <v>-0.14365856730672011</v>
      </c>
    </row>
    <row r="15" spans="2:8" x14ac:dyDescent="0.25">
      <c r="B15" t="s">
        <v>27</v>
      </c>
      <c r="C15">
        <f>_xlfn.T.INV.2T(E3,C11)</f>
        <v>2.1603686564627926</v>
      </c>
    </row>
    <row r="16" spans="2:8" x14ac:dyDescent="0.25">
      <c r="B16" t="s">
        <v>28</v>
      </c>
      <c r="C16">
        <f>_xlfn.T.DIST.2T(ABS(C13),C11)</f>
        <v>0.88797308474435277</v>
      </c>
    </row>
    <row r="19" spans="2:2" x14ac:dyDescent="0.25">
      <c r="B19" t="s">
        <v>29</v>
      </c>
    </row>
    <row r="20" spans="2:2" x14ac:dyDescent="0.25">
      <c r="B20" t="b">
        <f>ABS(C13)&gt;C15</f>
        <v>0</v>
      </c>
    </row>
    <row r="21" spans="2:2" x14ac:dyDescent="0.25">
      <c r="B21" t="b">
        <f>C16&lt;E3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145B-21F7-4270-9758-05BFA886261C}">
  <dimension ref="B2:AH42"/>
  <sheetViews>
    <sheetView workbookViewId="0">
      <selection activeCell="B25" sqref="B25"/>
    </sheetView>
  </sheetViews>
  <sheetFormatPr defaultRowHeight="15" x14ac:dyDescent="0.25"/>
  <cols>
    <col min="2" max="2" width="10.42578125" bestFit="1" customWidth="1"/>
    <col min="14" max="14" width="10.85546875" bestFit="1" customWidth="1"/>
  </cols>
  <sheetData>
    <row r="2" spans="2:34" x14ac:dyDescent="0.25">
      <c r="N2" t="s">
        <v>30</v>
      </c>
      <c r="P2" t="s">
        <v>22</v>
      </c>
    </row>
    <row r="3" spans="2:34" x14ac:dyDescent="0.25">
      <c r="B3" t="s">
        <v>2</v>
      </c>
      <c r="C3" t="s">
        <v>3</v>
      </c>
      <c r="D3" t="s">
        <v>31</v>
      </c>
      <c r="E3" t="s">
        <v>32</v>
      </c>
      <c r="K3">
        <v>1.21</v>
      </c>
      <c r="L3">
        <v>1.49</v>
      </c>
      <c r="P3">
        <v>2</v>
      </c>
      <c r="Q3">
        <v>3</v>
      </c>
      <c r="R3">
        <v>4</v>
      </c>
      <c r="S3">
        <v>5</v>
      </c>
      <c r="T3">
        <v>6</v>
      </c>
      <c r="U3">
        <v>7</v>
      </c>
      <c r="V3">
        <v>8</v>
      </c>
      <c r="W3">
        <v>9</v>
      </c>
      <c r="X3">
        <v>10</v>
      </c>
      <c r="Y3">
        <v>11</v>
      </c>
      <c r="Z3">
        <v>12</v>
      </c>
      <c r="AA3">
        <v>13</v>
      </c>
      <c r="AB3">
        <v>14</v>
      </c>
      <c r="AC3">
        <v>15</v>
      </c>
      <c r="AD3">
        <v>16</v>
      </c>
      <c r="AE3">
        <v>17</v>
      </c>
      <c r="AF3">
        <v>18</v>
      </c>
      <c r="AG3">
        <v>19</v>
      </c>
      <c r="AH3">
        <v>20</v>
      </c>
    </row>
    <row r="4" spans="2:34" x14ac:dyDescent="0.25">
      <c r="B4">
        <v>220.1</v>
      </c>
      <c r="C4">
        <v>223.4</v>
      </c>
      <c r="D4">
        <f>_xlfn.RANK.AVG(B4,$B$4:$C$13,0)</f>
        <v>12</v>
      </c>
      <c r="E4">
        <f>_xlfn.RANK.AVG(C4,$B$4:$C$13,0)</f>
        <v>9</v>
      </c>
      <c r="K4">
        <v>1.43</v>
      </c>
      <c r="L4">
        <v>1.37</v>
      </c>
      <c r="N4" t="s">
        <v>20</v>
      </c>
      <c r="O4">
        <v>2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2</v>
      </c>
      <c r="AF4">
        <v>2</v>
      </c>
      <c r="AG4">
        <v>2</v>
      </c>
      <c r="AH4">
        <v>2</v>
      </c>
    </row>
    <row r="5" spans="2:34" x14ac:dyDescent="0.25">
      <c r="B5">
        <v>218.6</v>
      </c>
      <c r="C5">
        <v>221.5</v>
      </c>
      <c r="D5">
        <f t="shared" ref="D5:D10" si="0">_xlfn.RANK.AVG(B5,$B$4:$C$13,0)</f>
        <v>13</v>
      </c>
      <c r="E5">
        <f t="shared" ref="E5:E8" si="1">_xlfn.RANK.AVG(C5,$B$4:$C$13,0)</f>
        <v>11</v>
      </c>
      <c r="K5">
        <v>1.35</v>
      </c>
      <c r="L5">
        <v>1.67</v>
      </c>
      <c r="O5">
        <v>3</v>
      </c>
      <c r="S5">
        <v>0</v>
      </c>
      <c r="T5">
        <v>1</v>
      </c>
      <c r="U5">
        <v>1</v>
      </c>
      <c r="V5">
        <v>2</v>
      </c>
      <c r="W5">
        <v>2</v>
      </c>
      <c r="X5">
        <v>3</v>
      </c>
      <c r="Y5">
        <v>3</v>
      </c>
      <c r="Z5">
        <v>4</v>
      </c>
      <c r="AA5">
        <v>4</v>
      </c>
      <c r="AB5">
        <v>5</v>
      </c>
      <c r="AC5">
        <v>5</v>
      </c>
      <c r="AD5">
        <v>6</v>
      </c>
      <c r="AE5">
        <v>6</v>
      </c>
      <c r="AF5">
        <v>7</v>
      </c>
      <c r="AG5">
        <v>7</v>
      </c>
      <c r="AH5">
        <v>8</v>
      </c>
    </row>
    <row r="6" spans="2:34" x14ac:dyDescent="0.25">
      <c r="B6">
        <v>229.6</v>
      </c>
      <c r="C6">
        <v>230.2</v>
      </c>
      <c r="D6">
        <f t="shared" si="0"/>
        <v>3</v>
      </c>
      <c r="E6">
        <f t="shared" si="1"/>
        <v>2</v>
      </c>
      <c r="K6">
        <v>1.51</v>
      </c>
      <c r="L6">
        <v>1.5</v>
      </c>
      <c r="O6">
        <v>4</v>
      </c>
      <c r="R6">
        <v>0</v>
      </c>
      <c r="S6">
        <v>1</v>
      </c>
      <c r="T6">
        <v>2</v>
      </c>
      <c r="U6">
        <v>3</v>
      </c>
      <c r="V6">
        <v>4</v>
      </c>
      <c r="W6">
        <v>4</v>
      </c>
      <c r="X6">
        <v>5</v>
      </c>
      <c r="Y6">
        <v>6</v>
      </c>
      <c r="Z6">
        <v>7</v>
      </c>
      <c r="AA6">
        <v>8</v>
      </c>
      <c r="AB6">
        <v>9</v>
      </c>
      <c r="AC6">
        <v>10</v>
      </c>
      <c r="AD6">
        <v>11</v>
      </c>
      <c r="AE6">
        <v>11</v>
      </c>
      <c r="AF6">
        <v>12</v>
      </c>
      <c r="AG6">
        <v>13</v>
      </c>
      <c r="AH6">
        <v>14</v>
      </c>
    </row>
    <row r="7" spans="2:34" x14ac:dyDescent="0.25">
      <c r="B7">
        <v>228.8</v>
      </c>
      <c r="C7">
        <v>224.3</v>
      </c>
      <c r="D7">
        <f t="shared" si="0"/>
        <v>4</v>
      </c>
      <c r="E7">
        <f t="shared" si="1"/>
        <v>6</v>
      </c>
      <c r="K7">
        <v>1.39</v>
      </c>
      <c r="L7">
        <v>1.31</v>
      </c>
      <c r="O7">
        <v>5</v>
      </c>
      <c r="Q7">
        <v>0</v>
      </c>
      <c r="R7">
        <v>1</v>
      </c>
      <c r="S7">
        <v>2</v>
      </c>
      <c r="T7">
        <v>3</v>
      </c>
      <c r="U7">
        <v>5</v>
      </c>
      <c r="V7">
        <v>6</v>
      </c>
      <c r="W7">
        <v>7</v>
      </c>
      <c r="X7">
        <v>8</v>
      </c>
      <c r="Y7">
        <v>9</v>
      </c>
      <c r="Z7">
        <v>11</v>
      </c>
      <c r="AA7">
        <v>12</v>
      </c>
      <c r="AB7">
        <v>13</v>
      </c>
      <c r="AC7">
        <v>14</v>
      </c>
      <c r="AD7">
        <v>15</v>
      </c>
      <c r="AE7">
        <v>17</v>
      </c>
      <c r="AF7">
        <v>18</v>
      </c>
      <c r="AG7">
        <v>19</v>
      </c>
      <c r="AH7">
        <v>20</v>
      </c>
    </row>
    <row r="8" spans="2:34" x14ac:dyDescent="0.25">
      <c r="B8">
        <v>222</v>
      </c>
      <c r="C8">
        <v>223.8</v>
      </c>
      <c r="D8">
        <f t="shared" si="0"/>
        <v>10</v>
      </c>
      <c r="E8">
        <f t="shared" si="1"/>
        <v>8</v>
      </c>
      <c r="K8">
        <v>1.17</v>
      </c>
      <c r="L8">
        <v>1.29</v>
      </c>
      <c r="O8">
        <v>6</v>
      </c>
      <c r="Q8">
        <v>1</v>
      </c>
      <c r="R8">
        <v>2</v>
      </c>
      <c r="S8">
        <v>3</v>
      </c>
      <c r="T8">
        <v>5</v>
      </c>
      <c r="U8">
        <v>6</v>
      </c>
      <c r="V8">
        <v>7</v>
      </c>
      <c r="W8">
        <v>10</v>
      </c>
      <c r="X8">
        <v>11</v>
      </c>
      <c r="Y8">
        <v>13</v>
      </c>
      <c r="Z8">
        <v>14</v>
      </c>
      <c r="AA8">
        <v>16</v>
      </c>
      <c r="AB8">
        <v>17</v>
      </c>
      <c r="AC8">
        <v>19</v>
      </c>
      <c r="AD8">
        <v>21</v>
      </c>
      <c r="AE8">
        <v>22</v>
      </c>
      <c r="AF8">
        <v>24</v>
      </c>
      <c r="AG8">
        <v>25</v>
      </c>
      <c r="AH8">
        <v>27</v>
      </c>
    </row>
    <row r="9" spans="2:34" x14ac:dyDescent="0.25">
      <c r="B9">
        <v>224.1</v>
      </c>
      <c r="C9">
        <v>230.8</v>
      </c>
      <c r="D9">
        <f t="shared" si="0"/>
        <v>7</v>
      </c>
      <c r="E9">
        <f>_xlfn.RANK.AVG(C9,$B$4:$C$13,0)</f>
        <v>1</v>
      </c>
      <c r="K9">
        <v>1.48</v>
      </c>
      <c r="L9">
        <v>1.52</v>
      </c>
      <c r="O9">
        <v>7</v>
      </c>
      <c r="Q9">
        <v>1</v>
      </c>
      <c r="R9">
        <v>3</v>
      </c>
      <c r="S9">
        <v>5</v>
      </c>
      <c r="T9">
        <v>6</v>
      </c>
      <c r="U9">
        <v>8</v>
      </c>
      <c r="V9">
        <v>10</v>
      </c>
      <c r="W9">
        <v>12</v>
      </c>
      <c r="X9">
        <v>14</v>
      </c>
      <c r="Y9">
        <v>16</v>
      </c>
      <c r="Z9">
        <v>18</v>
      </c>
      <c r="AA9">
        <v>20</v>
      </c>
      <c r="AB9">
        <v>22</v>
      </c>
      <c r="AC9">
        <v>24</v>
      </c>
      <c r="AD9">
        <v>26</v>
      </c>
      <c r="AE9">
        <v>28</v>
      </c>
      <c r="AF9">
        <v>30</v>
      </c>
      <c r="AG9">
        <v>32</v>
      </c>
      <c r="AH9">
        <v>34</v>
      </c>
    </row>
    <row r="10" spans="2:34" x14ac:dyDescent="0.25">
      <c r="B10">
        <v>226.5</v>
      </c>
      <c r="D10">
        <f t="shared" si="0"/>
        <v>5</v>
      </c>
      <c r="K10">
        <v>1.42</v>
      </c>
      <c r="L10">
        <v>1.37</v>
      </c>
      <c r="O10">
        <v>8</v>
      </c>
      <c r="P10">
        <v>0</v>
      </c>
      <c r="Q10">
        <v>2</v>
      </c>
      <c r="R10">
        <v>4</v>
      </c>
      <c r="S10">
        <v>6</v>
      </c>
      <c r="T10">
        <v>7</v>
      </c>
      <c r="U10">
        <v>10</v>
      </c>
      <c r="V10">
        <v>13</v>
      </c>
      <c r="W10">
        <v>15</v>
      </c>
      <c r="X10">
        <v>17</v>
      </c>
      <c r="Y10">
        <v>19</v>
      </c>
      <c r="Z10">
        <v>22</v>
      </c>
      <c r="AA10">
        <v>24</v>
      </c>
      <c r="AB10">
        <v>26</v>
      </c>
      <c r="AC10">
        <v>29</v>
      </c>
      <c r="AD10">
        <v>31</v>
      </c>
      <c r="AE10">
        <v>34</v>
      </c>
      <c r="AF10">
        <v>36</v>
      </c>
      <c r="AG10">
        <v>38</v>
      </c>
      <c r="AH10">
        <v>41</v>
      </c>
    </row>
    <row r="11" spans="2:34" x14ac:dyDescent="0.25">
      <c r="K11">
        <v>1.29</v>
      </c>
      <c r="L11">
        <v>1.44</v>
      </c>
      <c r="O11">
        <v>9</v>
      </c>
      <c r="P11">
        <v>0</v>
      </c>
      <c r="Q11">
        <v>2</v>
      </c>
      <c r="R11">
        <v>4</v>
      </c>
      <c r="S11">
        <v>7</v>
      </c>
      <c r="T11">
        <v>10</v>
      </c>
      <c r="U11">
        <v>12</v>
      </c>
      <c r="V11">
        <v>15</v>
      </c>
      <c r="W11">
        <v>17</v>
      </c>
      <c r="X11">
        <v>20</v>
      </c>
      <c r="Y11">
        <v>23</v>
      </c>
      <c r="Z11">
        <v>26</v>
      </c>
      <c r="AA11">
        <v>28</v>
      </c>
      <c r="AB11">
        <v>31</v>
      </c>
      <c r="AC11">
        <v>34</v>
      </c>
      <c r="AD11">
        <v>37</v>
      </c>
      <c r="AE11">
        <v>39</v>
      </c>
      <c r="AF11">
        <v>42</v>
      </c>
      <c r="AG11">
        <v>45</v>
      </c>
      <c r="AH11">
        <v>48</v>
      </c>
    </row>
    <row r="12" spans="2:34" x14ac:dyDescent="0.25">
      <c r="K12">
        <v>1.4</v>
      </c>
      <c r="L12">
        <v>1.53</v>
      </c>
      <c r="O12">
        <v>10</v>
      </c>
      <c r="P12">
        <v>0</v>
      </c>
      <c r="Q12">
        <v>3</v>
      </c>
      <c r="R12">
        <v>5</v>
      </c>
      <c r="S12">
        <v>8</v>
      </c>
      <c r="T12">
        <v>11</v>
      </c>
      <c r="U12">
        <v>14</v>
      </c>
      <c r="V12">
        <v>17</v>
      </c>
      <c r="W12">
        <v>20</v>
      </c>
      <c r="X12">
        <v>23</v>
      </c>
      <c r="Y12">
        <v>26</v>
      </c>
      <c r="Z12">
        <v>29</v>
      </c>
      <c r="AA12">
        <v>33</v>
      </c>
      <c r="AB12">
        <v>36</v>
      </c>
      <c r="AC12">
        <v>39</v>
      </c>
      <c r="AD12">
        <v>42</v>
      </c>
      <c r="AE12">
        <v>45</v>
      </c>
      <c r="AF12">
        <v>48</v>
      </c>
      <c r="AG12">
        <v>52</v>
      </c>
      <c r="AH12">
        <v>55</v>
      </c>
    </row>
    <row r="13" spans="2:34" x14ac:dyDescent="0.25">
      <c r="O13">
        <v>11</v>
      </c>
      <c r="P13">
        <v>0</v>
      </c>
      <c r="Q13">
        <v>3</v>
      </c>
      <c r="R13">
        <v>6</v>
      </c>
      <c r="S13">
        <v>9</v>
      </c>
      <c r="T13">
        <v>13</v>
      </c>
      <c r="U13">
        <v>16</v>
      </c>
      <c r="V13">
        <v>19</v>
      </c>
      <c r="W13">
        <v>23</v>
      </c>
      <c r="X13">
        <v>26</v>
      </c>
      <c r="Y13">
        <v>30</v>
      </c>
      <c r="Z13">
        <v>33</v>
      </c>
      <c r="AA13">
        <v>37</v>
      </c>
      <c r="AB13">
        <v>40</v>
      </c>
      <c r="AC13">
        <v>44</v>
      </c>
      <c r="AD13">
        <v>47</v>
      </c>
      <c r="AE13">
        <v>51</v>
      </c>
      <c r="AF13">
        <v>55</v>
      </c>
      <c r="AG13">
        <v>58</v>
      </c>
      <c r="AH13">
        <v>62</v>
      </c>
    </row>
    <row r="14" spans="2:34" x14ac:dyDescent="0.25">
      <c r="O14">
        <v>12</v>
      </c>
      <c r="P14">
        <v>1</v>
      </c>
      <c r="Q14">
        <v>4</v>
      </c>
      <c r="R14">
        <v>7</v>
      </c>
      <c r="S14">
        <v>11</v>
      </c>
      <c r="T14">
        <v>14</v>
      </c>
      <c r="U14">
        <v>18</v>
      </c>
      <c r="V14">
        <v>22</v>
      </c>
      <c r="W14">
        <v>26</v>
      </c>
      <c r="X14">
        <v>29</v>
      </c>
      <c r="Y14">
        <v>33</v>
      </c>
      <c r="Z14">
        <v>37</v>
      </c>
      <c r="AA14">
        <v>41</v>
      </c>
      <c r="AB14">
        <v>45</v>
      </c>
      <c r="AC14">
        <v>49</v>
      </c>
      <c r="AD14">
        <v>53</v>
      </c>
      <c r="AE14">
        <v>57</v>
      </c>
      <c r="AF14">
        <v>61</v>
      </c>
      <c r="AG14">
        <v>65</v>
      </c>
      <c r="AH14">
        <v>69</v>
      </c>
    </row>
    <row r="15" spans="2:34" x14ac:dyDescent="0.25">
      <c r="D15" t="s">
        <v>33</v>
      </c>
      <c r="E15" t="s">
        <v>34</v>
      </c>
      <c r="O15">
        <v>13</v>
      </c>
      <c r="P15">
        <v>1</v>
      </c>
      <c r="Q15">
        <v>4</v>
      </c>
      <c r="R15">
        <v>8</v>
      </c>
      <c r="S15">
        <v>12</v>
      </c>
      <c r="T15">
        <v>16</v>
      </c>
      <c r="U15">
        <v>20</v>
      </c>
      <c r="V15">
        <v>24</v>
      </c>
      <c r="W15">
        <v>28</v>
      </c>
      <c r="X15">
        <v>33</v>
      </c>
      <c r="Y15">
        <v>37</v>
      </c>
      <c r="Z15">
        <v>41</v>
      </c>
      <c r="AA15">
        <v>45</v>
      </c>
      <c r="AB15">
        <v>50</v>
      </c>
      <c r="AC15">
        <v>54</v>
      </c>
      <c r="AD15">
        <v>59</v>
      </c>
      <c r="AE15">
        <v>63</v>
      </c>
      <c r="AF15">
        <v>67</v>
      </c>
      <c r="AG15">
        <v>72</v>
      </c>
      <c r="AH15">
        <v>76</v>
      </c>
    </row>
    <row r="16" spans="2:34" x14ac:dyDescent="0.25">
      <c r="C16" t="s">
        <v>35</v>
      </c>
      <c r="D16">
        <f>SUM(D4:D13)</f>
        <v>54</v>
      </c>
      <c r="E16">
        <f>SUM(E4:E13)</f>
        <v>37</v>
      </c>
      <c r="O16">
        <v>14</v>
      </c>
      <c r="P16">
        <v>1</v>
      </c>
      <c r="Q16">
        <v>5</v>
      </c>
      <c r="R16">
        <v>9</v>
      </c>
      <c r="S16">
        <v>13</v>
      </c>
      <c r="T16">
        <v>17</v>
      </c>
      <c r="U16">
        <v>22</v>
      </c>
      <c r="V16">
        <v>26</v>
      </c>
      <c r="W16">
        <v>31</v>
      </c>
      <c r="X16">
        <v>36</v>
      </c>
      <c r="Y16">
        <v>40</v>
      </c>
      <c r="Z16">
        <v>45</v>
      </c>
      <c r="AA16">
        <v>50</v>
      </c>
      <c r="AB16">
        <v>55</v>
      </c>
      <c r="AC16">
        <v>59</v>
      </c>
      <c r="AD16">
        <v>64</v>
      </c>
      <c r="AE16">
        <v>67</v>
      </c>
      <c r="AF16">
        <v>74</v>
      </c>
      <c r="AG16">
        <v>78</v>
      </c>
      <c r="AH16">
        <v>83</v>
      </c>
    </row>
    <row r="17" spans="2:34" x14ac:dyDescent="0.25">
      <c r="C17" t="s">
        <v>36</v>
      </c>
      <c r="D17">
        <f>COUNT(D4:D13)</f>
        <v>7</v>
      </c>
      <c r="E17">
        <f>COUNT(E4:E13)</f>
        <v>6</v>
      </c>
      <c r="O17">
        <v>15</v>
      </c>
      <c r="P17">
        <v>1</v>
      </c>
      <c r="Q17">
        <v>5</v>
      </c>
      <c r="R17">
        <v>10</v>
      </c>
      <c r="S17">
        <v>14</v>
      </c>
      <c r="T17">
        <v>19</v>
      </c>
      <c r="U17">
        <v>24</v>
      </c>
      <c r="V17">
        <v>29</v>
      </c>
      <c r="W17">
        <v>34</v>
      </c>
      <c r="X17">
        <v>39</v>
      </c>
      <c r="Y17">
        <v>44</v>
      </c>
      <c r="Z17">
        <v>49</v>
      </c>
      <c r="AA17">
        <v>54</v>
      </c>
      <c r="AB17">
        <v>59</v>
      </c>
      <c r="AC17">
        <v>64</v>
      </c>
      <c r="AD17">
        <v>70</v>
      </c>
      <c r="AE17">
        <v>75</v>
      </c>
      <c r="AF17">
        <v>80</v>
      </c>
      <c r="AG17">
        <v>85</v>
      </c>
      <c r="AH17">
        <v>90</v>
      </c>
    </row>
    <row r="18" spans="2:34" x14ac:dyDescent="0.25">
      <c r="O18">
        <v>16</v>
      </c>
      <c r="P18">
        <v>1</v>
      </c>
      <c r="Q18">
        <v>6</v>
      </c>
      <c r="R18">
        <v>11</v>
      </c>
      <c r="S18">
        <v>15</v>
      </c>
      <c r="T18">
        <v>21</v>
      </c>
      <c r="U18">
        <v>26</v>
      </c>
      <c r="V18">
        <v>31</v>
      </c>
      <c r="W18">
        <v>37</v>
      </c>
      <c r="X18">
        <v>42</v>
      </c>
      <c r="Y18">
        <v>47</v>
      </c>
      <c r="Z18">
        <v>53</v>
      </c>
      <c r="AA18">
        <v>59</v>
      </c>
      <c r="AB18">
        <v>64</v>
      </c>
      <c r="AC18">
        <v>70</v>
      </c>
      <c r="AD18">
        <v>75</v>
      </c>
      <c r="AE18">
        <v>81</v>
      </c>
      <c r="AF18">
        <v>86</v>
      </c>
      <c r="AG18">
        <v>92</v>
      </c>
      <c r="AH18">
        <v>98</v>
      </c>
    </row>
    <row r="19" spans="2:34" x14ac:dyDescent="0.25">
      <c r="B19" t="s">
        <v>37</v>
      </c>
      <c r="C19">
        <f>D17*E17+0.5*(D17*(D17+1))-D16</f>
        <v>16</v>
      </c>
      <c r="D19" t="s">
        <v>38</v>
      </c>
      <c r="E19" t="s">
        <v>39</v>
      </c>
      <c r="O19">
        <v>17</v>
      </c>
      <c r="P19">
        <v>2</v>
      </c>
      <c r="Q19">
        <v>6</v>
      </c>
      <c r="R19">
        <v>11</v>
      </c>
      <c r="S19">
        <v>17</v>
      </c>
      <c r="T19">
        <v>22</v>
      </c>
      <c r="U19">
        <v>28</v>
      </c>
      <c r="V19">
        <v>34</v>
      </c>
      <c r="W19">
        <v>39</v>
      </c>
      <c r="X19">
        <v>45</v>
      </c>
      <c r="Y19">
        <v>51</v>
      </c>
      <c r="Z19">
        <v>57</v>
      </c>
      <c r="AA19">
        <v>63</v>
      </c>
      <c r="AB19">
        <v>67</v>
      </c>
      <c r="AC19">
        <v>75</v>
      </c>
      <c r="AD19">
        <v>81</v>
      </c>
      <c r="AE19">
        <v>87</v>
      </c>
      <c r="AF19">
        <v>93</v>
      </c>
      <c r="AG19">
        <v>99</v>
      </c>
      <c r="AH19">
        <v>105</v>
      </c>
    </row>
    <row r="20" spans="2:34" x14ac:dyDescent="0.25">
      <c r="B20" t="s">
        <v>40</v>
      </c>
      <c r="C20">
        <f>D17*E17-C19</f>
        <v>26</v>
      </c>
      <c r="D20" t="s">
        <v>38</v>
      </c>
      <c r="O20">
        <v>18</v>
      </c>
      <c r="P20">
        <v>2</v>
      </c>
      <c r="Q20">
        <v>7</v>
      </c>
      <c r="R20">
        <v>12</v>
      </c>
      <c r="S20">
        <v>18</v>
      </c>
      <c r="T20">
        <v>24</v>
      </c>
      <c r="U20">
        <v>30</v>
      </c>
      <c r="V20">
        <v>36</v>
      </c>
      <c r="W20">
        <v>42</v>
      </c>
      <c r="X20">
        <v>48</v>
      </c>
      <c r="Y20">
        <v>55</v>
      </c>
      <c r="Z20">
        <v>61</v>
      </c>
      <c r="AA20">
        <v>67</v>
      </c>
      <c r="AB20">
        <v>74</v>
      </c>
      <c r="AC20">
        <v>80</v>
      </c>
      <c r="AD20">
        <v>86</v>
      </c>
      <c r="AE20">
        <v>93</v>
      </c>
      <c r="AF20">
        <v>99</v>
      </c>
      <c r="AG20">
        <v>106</v>
      </c>
      <c r="AH20">
        <v>112</v>
      </c>
    </row>
    <row r="21" spans="2:34" x14ac:dyDescent="0.25">
      <c r="O21">
        <v>19</v>
      </c>
      <c r="P21">
        <v>2</v>
      </c>
      <c r="Q21">
        <v>7</v>
      </c>
      <c r="R21">
        <v>13</v>
      </c>
      <c r="S21">
        <v>19</v>
      </c>
      <c r="T21">
        <v>25</v>
      </c>
      <c r="U21">
        <v>32</v>
      </c>
      <c r="V21">
        <v>38</v>
      </c>
      <c r="W21">
        <v>45</v>
      </c>
      <c r="X21">
        <v>52</v>
      </c>
      <c r="Y21">
        <v>58</v>
      </c>
      <c r="Z21">
        <v>65</v>
      </c>
      <c r="AA21">
        <v>72</v>
      </c>
      <c r="AB21">
        <v>78</v>
      </c>
      <c r="AC21">
        <v>85</v>
      </c>
      <c r="AD21">
        <v>92</v>
      </c>
      <c r="AE21">
        <v>99</v>
      </c>
      <c r="AF21">
        <v>106</v>
      </c>
      <c r="AG21">
        <v>113</v>
      </c>
      <c r="AH21">
        <v>119</v>
      </c>
    </row>
    <row r="22" spans="2:34" x14ac:dyDescent="0.25">
      <c r="B22" t="s">
        <v>41</v>
      </c>
      <c r="C22">
        <v>6</v>
      </c>
      <c r="D22" t="s">
        <v>38</v>
      </c>
      <c r="E22" t="s">
        <v>42</v>
      </c>
      <c r="O22">
        <v>20</v>
      </c>
      <c r="P22">
        <v>2</v>
      </c>
      <c r="Q22">
        <v>8</v>
      </c>
      <c r="R22">
        <v>13</v>
      </c>
      <c r="S22">
        <v>20</v>
      </c>
      <c r="T22">
        <v>27</v>
      </c>
      <c r="U22">
        <v>34</v>
      </c>
      <c r="V22">
        <v>41</v>
      </c>
      <c r="W22">
        <v>48</v>
      </c>
      <c r="X22">
        <v>55</v>
      </c>
      <c r="Y22">
        <v>62</v>
      </c>
      <c r="Z22">
        <v>69</v>
      </c>
      <c r="AA22">
        <v>76</v>
      </c>
      <c r="AB22">
        <v>83</v>
      </c>
      <c r="AC22">
        <v>90</v>
      </c>
      <c r="AD22">
        <v>98</v>
      </c>
      <c r="AE22">
        <v>105</v>
      </c>
      <c r="AF22">
        <v>112</v>
      </c>
      <c r="AG22">
        <v>119</v>
      </c>
      <c r="AH22">
        <v>127</v>
      </c>
    </row>
    <row r="23" spans="2:34" x14ac:dyDescent="0.25">
      <c r="O23">
        <v>21</v>
      </c>
      <c r="P23">
        <v>3</v>
      </c>
      <c r="Q23">
        <v>8</v>
      </c>
      <c r="R23">
        <v>15</v>
      </c>
      <c r="S23">
        <v>22</v>
      </c>
      <c r="T23">
        <v>29</v>
      </c>
      <c r="U23">
        <v>36</v>
      </c>
      <c r="V23">
        <v>43</v>
      </c>
      <c r="W23">
        <v>50</v>
      </c>
      <c r="X23">
        <v>58</v>
      </c>
      <c r="Y23">
        <v>65</v>
      </c>
      <c r="Z23">
        <v>73</v>
      </c>
      <c r="AA23">
        <v>80</v>
      </c>
      <c r="AB23">
        <v>88</v>
      </c>
      <c r="AC23">
        <v>96</v>
      </c>
      <c r="AD23">
        <v>103</v>
      </c>
      <c r="AE23">
        <v>111</v>
      </c>
      <c r="AF23">
        <v>119</v>
      </c>
      <c r="AG23">
        <v>126</v>
      </c>
      <c r="AH23">
        <v>134</v>
      </c>
    </row>
    <row r="24" spans="2:34" x14ac:dyDescent="0.25">
      <c r="B24" t="s">
        <v>43</v>
      </c>
      <c r="C24" t="b">
        <f>MIN(C19:C20)&lt;C22</f>
        <v>0</v>
      </c>
      <c r="O24">
        <v>22</v>
      </c>
      <c r="P24">
        <v>3</v>
      </c>
      <c r="Q24">
        <v>9</v>
      </c>
      <c r="R24">
        <v>16</v>
      </c>
      <c r="S24">
        <v>23</v>
      </c>
      <c r="T24">
        <v>30</v>
      </c>
      <c r="U24">
        <v>38</v>
      </c>
      <c r="V24">
        <v>45</v>
      </c>
      <c r="W24">
        <v>53</v>
      </c>
      <c r="X24">
        <v>61</v>
      </c>
      <c r="Y24">
        <v>69</v>
      </c>
      <c r="Z24">
        <v>77</v>
      </c>
      <c r="AA24">
        <v>85</v>
      </c>
      <c r="AB24">
        <v>93</v>
      </c>
      <c r="AC24">
        <v>101</v>
      </c>
      <c r="AD24">
        <v>109</v>
      </c>
      <c r="AE24">
        <v>117</v>
      </c>
      <c r="AF24">
        <v>125</v>
      </c>
      <c r="AG24">
        <v>133</v>
      </c>
      <c r="AH24">
        <v>141</v>
      </c>
    </row>
    <row r="25" spans="2:34" x14ac:dyDescent="0.25">
      <c r="O25">
        <v>23</v>
      </c>
      <c r="P25">
        <v>3</v>
      </c>
      <c r="Q25">
        <v>9</v>
      </c>
      <c r="R25">
        <v>17</v>
      </c>
      <c r="S25">
        <v>24</v>
      </c>
      <c r="T25">
        <v>32</v>
      </c>
      <c r="U25">
        <v>40</v>
      </c>
      <c r="V25">
        <v>48</v>
      </c>
      <c r="W25">
        <v>56</v>
      </c>
      <c r="X25">
        <v>64</v>
      </c>
      <c r="Y25">
        <v>73</v>
      </c>
      <c r="Z25">
        <v>81</v>
      </c>
      <c r="AA25">
        <v>89</v>
      </c>
      <c r="AB25">
        <v>98</v>
      </c>
      <c r="AC25">
        <v>106</v>
      </c>
      <c r="AD25">
        <v>115</v>
      </c>
      <c r="AE25">
        <v>123</v>
      </c>
      <c r="AF25">
        <v>132</v>
      </c>
      <c r="AG25">
        <v>140</v>
      </c>
      <c r="AH25">
        <v>149</v>
      </c>
    </row>
    <row r="26" spans="2:34" x14ac:dyDescent="0.25">
      <c r="O26">
        <v>24</v>
      </c>
      <c r="P26">
        <v>3</v>
      </c>
      <c r="Q26">
        <v>10</v>
      </c>
      <c r="R26">
        <v>17</v>
      </c>
      <c r="S26">
        <v>25</v>
      </c>
      <c r="T26">
        <v>33</v>
      </c>
      <c r="U26">
        <v>42</v>
      </c>
      <c r="V26">
        <v>50</v>
      </c>
      <c r="W26">
        <v>59</v>
      </c>
      <c r="X26">
        <v>67</v>
      </c>
      <c r="Y26">
        <v>76</v>
      </c>
      <c r="Z26">
        <v>85</v>
      </c>
      <c r="AA26">
        <v>94</v>
      </c>
      <c r="AB26">
        <v>102</v>
      </c>
      <c r="AC26">
        <v>111</v>
      </c>
      <c r="AD26">
        <v>120</v>
      </c>
      <c r="AE26">
        <v>129</v>
      </c>
      <c r="AF26">
        <v>138</v>
      </c>
      <c r="AG26">
        <v>147</v>
      </c>
      <c r="AH26">
        <v>156</v>
      </c>
    </row>
    <row r="27" spans="2:34" x14ac:dyDescent="0.25">
      <c r="O27">
        <v>25</v>
      </c>
      <c r="P27">
        <v>3</v>
      </c>
      <c r="Q27">
        <v>10</v>
      </c>
      <c r="R27">
        <v>18</v>
      </c>
      <c r="S27">
        <v>27</v>
      </c>
      <c r="T27">
        <v>35</v>
      </c>
      <c r="U27">
        <v>44</v>
      </c>
      <c r="V27">
        <v>53</v>
      </c>
      <c r="W27">
        <v>62</v>
      </c>
      <c r="X27">
        <v>71</v>
      </c>
      <c r="Y27">
        <v>80</v>
      </c>
      <c r="Z27">
        <v>89</v>
      </c>
      <c r="AA27">
        <v>98</v>
      </c>
      <c r="AB27">
        <v>107</v>
      </c>
      <c r="AC27">
        <v>117</v>
      </c>
      <c r="AD27">
        <v>126</v>
      </c>
      <c r="AE27">
        <v>135</v>
      </c>
      <c r="AF27">
        <v>145</v>
      </c>
      <c r="AG27">
        <v>154</v>
      </c>
      <c r="AH27">
        <v>163</v>
      </c>
    </row>
    <row r="28" spans="2:34" x14ac:dyDescent="0.25">
      <c r="O28">
        <v>26</v>
      </c>
      <c r="P28">
        <v>4</v>
      </c>
      <c r="Q28">
        <v>11</v>
      </c>
      <c r="R28">
        <v>19</v>
      </c>
      <c r="S28">
        <v>28</v>
      </c>
      <c r="T28">
        <v>37</v>
      </c>
      <c r="U28">
        <v>46</v>
      </c>
      <c r="V28">
        <v>55</v>
      </c>
      <c r="W28">
        <v>64</v>
      </c>
      <c r="X28">
        <v>74</v>
      </c>
      <c r="Y28">
        <v>83</v>
      </c>
      <c r="Z28">
        <v>93</v>
      </c>
      <c r="AA28">
        <v>102</v>
      </c>
      <c r="AB28">
        <v>112</v>
      </c>
      <c r="AC28">
        <v>122</v>
      </c>
      <c r="AD28">
        <v>132</v>
      </c>
      <c r="AE28">
        <v>141</v>
      </c>
      <c r="AF28">
        <v>151</v>
      </c>
      <c r="AG28">
        <v>161</v>
      </c>
      <c r="AH28">
        <v>171</v>
      </c>
    </row>
    <row r="29" spans="2:34" x14ac:dyDescent="0.25">
      <c r="O29">
        <v>27</v>
      </c>
      <c r="P29">
        <v>4</v>
      </c>
      <c r="Q29">
        <v>11</v>
      </c>
      <c r="R29">
        <v>20</v>
      </c>
      <c r="S29">
        <v>29</v>
      </c>
      <c r="T29">
        <v>38</v>
      </c>
      <c r="U29">
        <v>48</v>
      </c>
      <c r="V29">
        <v>57</v>
      </c>
      <c r="W29">
        <v>67</v>
      </c>
      <c r="X29">
        <v>77</v>
      </c>
      <c r="Y29">
        <v>87</v>
      </c>
      <c r="Z29">
        <v>97</v>
      </c>
      <c r="AA29">
        <v>107</v>
      </c>
      <c r="AB29">
        <v>117</v>
      </c>
      <c r="AC29">
        <v>127</v>
      </c>
      <c r="AD29">
        <v>137</v>
      </c>
      <c r="AE29">
        <v>147</v>
      </c>
      <c r="AF29">
        <v>158</v>
      </c>
      <c r="AG29">
        <v>168</v>
      </c>
      <c r="AH29">
        <v>178</v>
      </c>
    </row>
    <row r="30" spans="2:34" x14ac:dyDescent="0.25">
      <c r="O30">
        <v>28</v>
      </c>
      <c r="P30">
        <v>4</v>
      </c>
      <c r="Q30">
        <v>12</v>
      </c>
      <c r="R30">
        <v>21</v>
      </c>
      <c r="S30">
        <v>30</v>
      </c>
      <c r="T30">
        <v>40</v>
      </c>
      <c r="U30">
        <v>50</v>
      </c>
      <c r="V30">
        <v>60</v>
      </c>
      <c r="W30">
        <v>70</v>
      </c>
      <c r="X30">
        <v>80</v>
      </c>
      <c r="Y30">
        <v>90</v>
      </c>
      <c r="Z30">
        <v>101</v>
      </c>
      <c r="AA30">
        <v>111</v>
      </c>
      <c r="AB30">
        <v>122</v>
      </c>
      <c r="AC30">
        <v>132</v>
      </c>
      <c r="AD30">
        <v>143</v>
      </c>
      <c r="AE30">
        <v>154</v>
      </c>
      <c r="AF30">
        <v>164</v>
      </c>
      <c r="AG30">
        <v>175</v>
      </c>
      <c r="AH30">
        <v>186</v>
      </c>
    </row>
    <row r="31" spans="2:34" x14ac:dyDescent="0.25">
      <c r="O31">
        <v>29</v>
      </c>
      <c r="P31">
        <v>4</v>
      </c>
      <c r="Q31">
        <v>13</v>
      </c>
      <c r="R31">
        <v>22</v>
      </c>
      <c r="S31">
        <v>32</v>
      </c>
      <c r="T31">
        <v>42</v>
      </c>
      <c r="U31">
        <v>52</v>
      </c>
      <c r="V31">
        <v>62</v>
      </c>
      <c r="W31">
        <v>73</v>
      </c>
      <c r="X31">
        <v>83</v>
      </c>
      <c r="Y31">
        <v>94</v>
      </c>
      <c r="Z31">
        <v>105</v>
      </c>
      <c r="AA31">
        <v>116</v>
      </c>
      <c r="AB31">
        <v>127</v>
      </c>
      <c r="AC31">
        <v>138</v>
      </c>
      <c r="AD31">
        <v>149</v>
      </c>
      <c r="AE31">
        <v>160</v>
      </c>
      <c r="AF31">
        <v>171</v>
      </c>
      <c r="AG31">
        <v>182</v>
      </c>
      <c r="AH31">
        <v>193</v>
      </c>
    </row>
    <row r="32" spans="2:34" x14ac:dyDescent="0.25">
      <c r="O32">
        <v>30</v>
      </c>
      <c r="P32">
        <v>5</v>
      </c>
      <c r="Q32">
        <v>13</v>
      </c>
      <c r="R32">
        <v>23</v>
      </c>
      <c r="S32">
        <v>33</v>
      </c>
      <c r="T32">
        <v>43</v>
      </c>
      <c r="U32">
        <v>54</v>
      </c>
      <c r="V32">
        <v>65</v>
      </c>
      <c r="W32">
        <v>76</v>
      </c>
      <c r="X32">
        <v>87</v>
      </c>
      <c r="Y32">
        <v>98</v>
      </c>
      <c r="Z32">
        <v>109</v>
      </c>
      <c r="AA32">
        <v>120</v>
      </c>
      <c r="AB32">
        <v>131</v>
      </c>
      <c r="AC32">
        <v>143</v>
      </c>
      <c r="AD32">
        <v>154</v>
      </c>
      <c r="AE32">
        <v>166</v>
      </c>
      <c r="AF32">
        <v>177</v>
      </c>
      <c r="AG32">
        <v>189</v>
      </c>
      <c r="AH32">
        <v>200</v>
      </c>
    </row>
    <row r="33" spans="15:34" x14ac:dyDescent="0.25">
      <c r="O33">
        <v>31</v>
      </c>
      <c r="P33">
        <v>5</v>
      </c>
      <c r="Q33">
        <v>14</v>
      </c>
      <c r="R33">
        <v>24</v>
      </c>
      <c r="S33">
        <v>34</v>
      </c>
      <c r="T33">
        <v>45</v>
      </c>
      <c r="U33">
        <v>56</v>
      </c>
      <c r="V33">
        <v>67</v>
      </c>
      <c r="W33">
        <v>78</v>
      </c>
      <c r="X33">
        <v>90</v>
      </c>
      <c r="Y33">
        <v>101</v>
      </c>
      <c r="Z33">
        <v>113</v>
      </c>
      <c r="AA33">
        <v>125</v>
      </c>
      <c r="AB33">
        <v>136</v>
      </c>
      <c r="AC33">
        <v>148</v>
      </c>
      <c r="AD33">
        <v>160</v>
      </c>
      <c r="AE33">
        <v>172</v>
      </c>
      <c r="AF33">
        <v>184</v>
      </c>
      <c r="AG33">
        <v>196</v>
      </c>
      <c r="AH33">
        <v>208</v>
      </c>
    </row>
    <row r="34" spans="15:34" x14ac:dyDescent="0.25">
      <c r="O34">
        <v>32</v>
      </c>
      <c r="P34">
        <v>5</v>
      </c>
      <c r="Q34">
        <v>14</v>
      </c>
      <c r="R34">
        <v>24</v>
      </c>
      <c r="S34">
        <v>35</v>
      </c>
      <c r="T34">
        <v>46</v>
      </c>
      <c r="U34">
        <v>58</v>
      </c>
      <c r="V34">
        <v>69</v>
      </c>
      <c r="W34">
        <v>81</v>
      </c>
      <c r="X34">
        <v>93</v>
      </c>
      <c r="Y34">
        <v>105</v>
      </c>
      <c r="Z34">
        <v>117</v>
      </c>
      <c r="AA34">
        <v>129</v>
      </c>
      <c r="AB34">
        <v>141</v>
      </c>
      <c r="AC34">
        <v>153</v>
      </c>
      <c r="AD34">
        <v>166</v>
      </c>
      <c r="AE34">
        <v>178</v>
      </c>
      <c r="AF34">
        <v>190</v>
      </c>
      <c r="AG34">
        <v>203</v>
      </c>
      <c r="AH34">
        <v>215</v>
      </c>
    </row>
    <row r="35" spans="15:34" x14ac:dyDescent="0.25">
      <c r="O35">
        <v>33</v>
      </c>
      <c r="P35">
        <v>5</v>
      </c>
      <c r="Q35">
        <v>15</v>
      </c>
      <c r="R35">
        <v>25</v>
      </c>
      <c r="S35">
        <v>37</v>
      </c>
      <c r="T35">
        <v>48</v>
      </c>
      <c r="U35">
        <v>60</v>
      </c>
      <c r="V35">
        <v>72</v>
      </c>
      <c r="W35">
        <v>84</v>
      </c>
      <c r="X35">
        <v>96</v>
      </c>
      <c r="Y35">
        <v>108</v>
      </c>
      <c r="Z35">
        <v>121</v>
      </c>
      <c r="AA35">
        <v>133</v>
      </c>
      <c r="AB35">
        <v>146</v>
      </c>
      <c r="AC35">
        <v>159</v>
      </c>
      <c r="AD35">
        <v>171</v>
      </c>
      <c r="AE35">
        <v>184</v>
      </c>
      <c r="AF35">
        <v>197</v>
      </c>
      <c r="AG35">
        <v>210</v>
      </c>
      <c r="AH35">
        <v>222</v>
      </c>
    </row>
    <row r="36" spans="15:34" x14ac:dyDescent="0.25">
      <c r="O36">
        <v>34</v>
      </c>
      <c r="P36">
        <v>5</v>
      </c>
      <c r="Q36">
        <v>15</v>
      </c>
      <c r="R36">
        <v>26</v>
      </c>
      <c r="S36">
        <v>38</v>
      </c>
      <c r="T36">
        <v>50</v>
      </c>
      <c r="U36">
        <v>62</v>
      </c>
      <c r="V36">
        <v>74</v>
      </c>
      <c r="W36">
        <v>87</v>
      </c>
      <c r="X36">
        <v>99</v>
      </c>
      <c r="Y36">
        <v>112</v>
      </c>
      <c r="Z36">
        <v>125</v>
      </c>
      <c r="AA36">
        <v>138</v>
      </c>
      <c r="AB36">
        <v>151</v>
      </c>
      <c r="AC36">
        <v>164</v>
      </c>
      <c r="AD36">
        <v>177</v>
      </c>
      <c r="AE36">
        <v>190</v>
      </c>
      <c r="AF36">
        <v>203</v>
      </c>
      <c r="AG36">
        <v>217</v>
      </c>
      <c r="AH36">
        <v>230</v>
      </c>
    </row>
    <row r="37" spans="15:34" x14ac:dyDescent="0.25">
      <c r="O37">
        <v>35</v>
      </c>
      <c r="P37">
        <v>6</v>
      </c>
      <c r="Q37">
        <v>16</v>
      </c>
      <c r="R37">
        <v>27</v>
      </c>
      <c r="S37">
        <v>39</v>
      </c>
      <c r="T37">
        <v>51</v>
      </c>
      <c r="U37">
        <v>64</v>
      </c>
      <c r="V37">
        <v>77</v>
      </c>
      <c r="W37">
        <v>89</v>
      </c>
      <c r="X37">
        <v>103</v>
      </c>
      <c r="Y37">
        <v>116</v>
      </c>
      <c r="Z37">
        <v>129</v>
      </c>
      <c r="AA37">
        <v>142</v>
      </c>
      <c r="AB37">
        <v>156</v>
      </c>
      <c r="AC37">
        <v>169</v>
      </c>
      <c r="AD37">
        <v>183</v>
      </c>
      <c r="AE37">
        <v>196</v>
      </c>
      <c r="AF37">
        <v>210</v>
      </c>
      <c r="AG37">
        <v>224</v>
      </c>
      <c r="AH37">
        <v>237</v>
      </c>
    </row>
    <row r="38" spans="15:34" x14ac:dyDescent="0.25">
      <c r="O38">
        <v>36</v>
      </c>
      <c r="P38">
        <v>6</v>
      </c>
      <c r="Q38">
        <v>16</v>
      </c>
      <c r="R38">
        <v>28</v>
      </c>
      <c r="S38">
        <v>40</v>
      </c>
      <c r="T38">
        <v>53</v>
      </c>
      <c r="U38">
        <v>66</v>
      </c>
      <c r="V38">
        <v>79</v>
      </c>
      <c r="W38">
        <v>92</v>
      </c>
      <c r="X38">
        <v>106</v>
      </c>
      <c r="Y38">
        <v>119</v>
      </c>
      <c r="Z38">
        <v>133</v>
      </c>
      <c r="AA38">
        <v>147</v>
      </c>
      <c r="AB38">
        <v>161</v>
      </c>
      <c r="AC38">
        <v>174</v>
      </c>
      <c r="AD38">
        <v>188</v>
      </c>
      <c r="AE38">
        <v>202</v>
      </c>
      <c r="AF38">
        <v>216</v>
      </c>
      <c r="AG38">
        <v>231</v>
      </c>
      <c r="AH38">
        <v>245</v>
      </c>
    </row>
    <row r="39" spans="15:34" x14ac:dyDescent="0.25">
      <c r="O39">
        <v>37</v>
      </c>
      <c r="P39">
        <v>6</v>
      </c>
      <c r="Q39">
        <v>17</v>
      </c>
      <c r="R39">
        <v>29</v>
      </c>
      <c r="S39">
        <v>41</v>
      </c>
      <c r="T39">
        <v>55</v>
      </c>
      <c r="U39">
        <v>68</v>
      </c>
      <c r="V39">
        <v>81</v>
      </c>
      <c r="W39">
        <v>95</v>
      </c>
      <c r="X39">
        <v>109</v>
      </c>
      <c r="Y39">
        <v>123</v>
      </c>
      <c r="Z39">
        <v>137</v>
      </c>
      <c r="AA39">
        <v>151</v>
      </c>
      <c r="AB39">
        <v>165</v>
      </c>
      <c r="AC39">
        <v>180</v>
      </c>
      <c r="AD39">
        <v>194</v>
      </c>
      <c r="AE39">
        <v>209</v>
      </c>
      <c r="AF39">
        <v>223</v>
      </c>
      <c r="AG39">
        <v>238</v>
      </c>
      <c r="AH39">
        <v>252</v>
      </c>
    </row>
    <row r="40" spans="15:34" x14ac:dyDescent="0.25">
      <c r="O40">
        <v>38</v>
      </c>
      <c r="P40">
        <v>6</v>
      </c>
      <c r="Q40">
        <v>17</v>
      </c>
      <c r="R40">
        <v>30</v>
      </c>
      <c r="S40">
        <v>43</v>
      </c>
      <c r="T40">
        <v>56</v>
      </c>
      <c r="U40">
        <v>70</v>
      </c>
      <c r="V40">
        <v>84</v>
      </c>
      <c r="W40">
        <v>98</v>
      </c>
      <c r="X40">
        <v>112</v>
      </c>
      <c r="Y40">
        <v>127</v>
      </c>
      <c r="Z40">
        <v>141</v>
      </c>
      <c r="AA40">
        <v>156</v>
      </c>
      <c r="AB40">
        <v>170</v>
      </c>
      <c r="AC40">
        <v>185</v>
      </c>
      <c r="AD40">
        <v>200</v>
      </c>
      <c r="AE40">
        <v>215</v>
      </c>
      <c r="AF40">
        <v>230</v>
      </c>
      <c r="AG40">
        <v>245</v>
      </c>
      <c r="AH40">
        <v>259</v>
      </c>
    </row>
    <row r="41" spans="15:34" x14ac:dyDescent="0.25">
      <c r="O41">
        <v>39</v>
      </c>
      <c r="P41">
        <v>7</v>
      </c>
      <c r="Q41">
        <v>18</v>
      </c>
      <c r="R41">
        <v>31</v>
      </c>
      <c r="S41">
        <v>44</v>
      </c>
      <c r="T41">
        <v>58</v>
      </c>
      <c r="U41">
        <v>72</v>
      </c>
      <c r="V41">
        <v>86</v>
      </c>
      <c r="W41">
        <v>101</v>
      </c>
      <c r="X41">
        <v>115</v>
      </c>
      <c r="Y41">
        <v>130</v>
      </c>
      <c r="Z41">
        <v>145</v>
      </c>
      <c r="AA41">
        <v>160</v>
      </c>
      <c r="AB41">
        <v>175</v>
      </c>
      <c r="AC41">
        <v>190</v>
      </c>
      <c r="AD41">
        <v>206</v>
      </c>
      <c r="AE41">
        <v>221</v>
      </c>
      <c r="AF41">
        <v>236</v>
      </c>
      <c r="AG41">
        <v>252</v>
      </c>
      <c r="AH41">
        <v>267</v>
      </c>
    </row>
    <row r="42" spans="15:34" x14ac:dyDescent="0.25">
      <c r="O42">
        <v>40</v>
      </c>
      <c r="P42">
        <v>7</v>
      </c>
      <c r="Q42">
        <v>18</v>
      </c>
      <c r="R42">
        <v>31</v>
      </c>
      <c r="S42">
        <v>45</v>
      </c>
      <c r="T42">
        <v>59</v>
      </c>
      <c r="U42">
        <v>74</v>
      </c>
      <c r="V42">
        <v>89</v>
      </c>
      <c r="W42">
        <v>103</v>
      </c>
      <c r="X42">
        <v>119</v>
      </c>
      <c r="Y42">
        <v>134</v>
      </c>
      <c r="Z42">
        <v>149</v>
      </c>
      <c r="AA42">
        <v>165</v>
      </c>
      <c r="AB42">
        <v>180</v>
      </c>
      <c r="AC42">
        <v>196</v>
      </c>
      <c r="AD42">
        <v>211</v>
      </c>
      <c r="AE42">
        <v>227</v>
      </c>
      <c r="AF42">
        <v>243</v>
      </c>
      <c r="AG42">
        <v>258</v>
      </c>
      <c r="AH42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Step 1. F-test</vt:lpstr>
      <vt:lpstr>T-Test - Equal Var</vt:lpstr>
      <vt:lpstr>T-Test - Unequal Var</vt:lpstr>
      <vt:lpstr>Mann-Whitney</vt:lpstr>
      <vt:lpstr>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Parr</dc:creator>
  <cp:keywords/>
  <dc:description/>
  <cp:lastModifiedBy>Daniel Parr</cp:lastModifiedBy>
  <cp:revision/>
  <dcterms:created xsi:type="dcterms:W3CDTF">2026-02-25T23:26:39Z</dcterms:created>
  <dcterms:modified xsi:type="dcterms:W3CDTF">2026-04-30T22:51:42Z</dcterms:modified>
  <cp:category/>
  <cp:contentStatus/>
</cp:coreProperties>
</file>