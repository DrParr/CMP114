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CMP114\lectures\excel\completed\"/>
    </mc:Choice>
  </mc:AlternateContent>
  <xr:revisionPtr revIDLastSave="0" documentId="8_{AFA6A8E4-BF2F-49A8-AC87-2F0B3EFD8A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K5" i="1"/>
  <c r="K4" i="1"/>
  <c r="B4" i="1"/>
  <c r="B5" i="1" l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F3" i="1" l="1" a="1"/>
  <c r="F3" i="1" l="1"/>
  <c r="J5" i="1"/>
  <c r="M5" i="1" s="1"/>
  <c r="D2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 l="1"/>
  <c r="J4" i="1"/>
  <c r="M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<sst xmlns="http://schemas.openxmlformats.org/spreadsheetml/2006/main" count="23" uniqueCount="23">
  <si>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x</t>
  </si>
  <si>
    <t>y</t>
  </si>
  <si>
    <t>y_hat</t>
  </si>
  <si>
    <t>Linest</t>
  </si>
  <si>
    <t>Linest Legend</t>
  </si>
  <si>
    <t>slope</t>
  </si>
  <si>
    <t>intercept</t>
  </si>
  <si>
    <t>r^2</t>
  </si>
  <si>
    <t>res. Std error</t>
  </si>
  <si>
    <t>F-Value</t>
  </si>
  <si>
    <t>deg freedom</t>
  </si>
  <si>
    <t>SS Reg</t>
  </si>
  <si>
    <t>SS Res</t>
  </si>
  <si>
    <t>std error slope</t>
  </si>
  <si>
    <t>std error int</t>
  </si>
  <si>
    <t>Hypothesis Tests</t>
  </si>
  <si>
    <t>Slope</t>
  </si>
  <si>
    <t>Intercept</t>
  </si>
  <si>
    <t>Test Stat</t>
  </si>
  <si>
    <t>T-Crit</t>
  </si>
  <si>
    <t>alpha</t>
  </si>
  <si>
    <t>Reject H0?</t>
  </si>
  <si>
    <t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</si>
</sst>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8269903762029746E-2"/>
                  <c:y val="0.395426144648585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Sheet1!$B$3:$B$23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Sheet1!$C$3:$C$23</c:f>
              <c:numCache>
                <c:formatCode>General</c:formatCode>
                <c:ptCount val="21"/>
                <c:pt idx="0">
                  <c:v>3.1741316545051665</c:v>
                </c:pt>
                <c:pt idx="1">
                  <c:v>5.2</c:v>
                </c:pt>
                <c:pt idx="2">
                  <c:v>4.9648138680598359</c:v>
                </c:pt>
                <c:pt idx="3">
                  <c:v>5.4970676246610628</c:v>
                </c:pt>
                <c:pt idx="4">
                  <c:v>4.0229395771906482</c:v>
                </c:pt>
                <c:pt idx="5">
                  <c:v>6.0041927004522497</c:v>
                </c:pt>
                <c:pt idx="6">
                  <c:v>5.3646394120121084</c:v>
                </c:pt>
                <c:pt idx="7">
                  <c:v>6.4</c:v>
                </c:pt>
                <c:pt idx="8">
                  <c:v>6.6</c:v>
                </c:pt>
                <c:pt idx="9">
                  <c:v>5.7910879409568485</c:v>
                </c:pt>
                <c:pt idx="10">
                  <c:v>5.2423104821952036</c:v>
                </c:pt>
                <c:pt idx="11">
                  <c:v>7.1999999999999993</c:v>
                </c:pt>
                <c:pt idx="12">
                  <c:v>8.4997601637721409</c:v>
                </c:pt>
                <c:pt idx="13">
                  <c:v>7.8782091402398198</c:v>
                </c:pt>
                <c:pt idx="14">
                  <c:v>7.8000000000000007</c:v>
                </c:pt>
                <c:pt idx="15">
                  <c:v>6.3857917683441485</c:v>
                </c:pt>
                <c:pt idx="16">
                  <c:v>6.4559771554688359</c:v>
                </c:pt>
                <c:pt idx="17">
                  <c:v>8.0866790201117098</c:v>
                </c:pt>
                <c:pt idx="18">
                  <c:v>10.200816729293541</c:v>
                </c:pt>
                <c:pt idx="19">
                  <c:v>9.6075044620061991</c:v>
                </c:pt>
                <c:pt idx="20">
                  <c:v>9.8604446376772472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0-4DA6-9E98-096700D9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580232"/>
        <c:axId val="998582280"/>
      </c:scatterChart>
      <c:valAx>
        <c:axId val="99858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82280"/>
        <c:crosses val="autoZero"/>
        <c:crossBetween val="midCat"/>
      </c:valAx>
      <c:valAx>
        <c:axId val="99858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80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16</xdr:row>
      <xdr:rowOff>66675</xdr:rowOff>
    </xdr:from>
    <xdr:to>
      <xdr:col>12</xdr:col>
      <xdr:colOff>47625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7294F-6DD2-3DB3-F5DA-53B83D765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3"/>
  <sheetViews>
    <sheetView tabSelected="1" workbookViewId="0">
      <selection activeCell="L6" sqref="L6"/>
    </sheetView>
  </sheetViews>
  <sheetFormatPr defaultRowHeight="15" x14ac:dyDescent="0.25"/>
  <cols>
    <col min="6" max="6" width="14" bestFit="1" customWidth="1"/>
    <col min="7" max="7" width="12.42578125" bestFit="1" customWidth="1"/>
    <col min="12" max="12" width="12" bestFit="1" customWidth="1"/>
  </cols>
  <sheetData>
    <row r="2" spans="2:13" x14ac:dyDescent="0.25">
      <c r="B2" t="s">
        <v>0</v>
      </c>
      <c r="C2" t="s">
        <v>1</v>
      </c>
      <c r="D2" t="s">
        <v>2</v>
      </c>
      <c r="F2" s="5" t="s">
        <v>3</v>
      </c>
      <c r="G2" s="5"/>
      <c r="I2" t="s">
        <v>15</v>
      </c>
    </row>
    <row r="3" spans="2:13" x14ac:dyDescent="0.25">
      <c r="B3">
        <v>0</v>
      </c>
      <c r="C3">
        <v>3.1741316545051665</v>
      </c>
      <c r="D3">
        <f>B3*$F$3+$G$3</f>
        <v>4.0488742115058471</v>
      </c>
      <c r="F3" cm="1">
        <f t="array" ref="F3:G7">LINEST(C3:C23,B3:B23,TRUE,TRUE)</f>
        <v>2.6290479950154255</v>
      </c>
      <c r="G3">
        <v>4.0488742115058471</v>
      </c>
      <c r="J3" t="s">
        <v>18</v>
      </c>
      <c r="K3" t="s">
        <v>19</v>
      </c>
      <c r="L3" t="s">
        <v>22</v>
      </c>
      <c r="M3" t="s">
        <v>21</v>
      </c>
    </row>
    <row r="4" spans="2:13" x14ac:dyDescent="0.25">
      <c r="B4">
        <f>B3+0.1</f>
        <v>0.1</v>
      </c>
      <c r="C4">
        <v>5.2</v>
      </c>
      <c r="D4">
        <f t="shared" ref="D4:D23" si="0">B4*$F$3+$G$3</f>
        <v>4.3117790110073901</v>
      </c>
      <c r="F4">
        <v>0.34346744566584841</v>
      </c>
      <c r="G4">
        <v>0.40152896680568079</v>
      </c>
      <c r="I4" t="s">
        <v>16</v>
      </c>
      <c r="J4">
        <f>F3/F4</f>
        <v>7.6544313826270622</v>
      </c>
      <c r="K4">
        <f>_xlfn.T.INV.2T(J7,COUNT($C$3:$C$23))</f>
        <v>2.07961384472768</v>
      </c>
      <c r="L4">
        <f>_xlfn.T.DIST.2T($J$4,COUNT($C$3:$C$23))</f>
        <v>1.6592267851203257E-7</v>
      </c>
      <c r="M4" t="b">
        <f>ABS(J4)&gt;ABS(K4)</f>
        <v>1</v>
      </c>
    </row>
    <row r="5" spans="2:13" x14ac:dyDescent="0.25">
      <c r="B5">
        <f t="shared" ref="B5:B22" si="1">B4+0.1</f>
        <v>0.2</v>
      </c>
      <c r="C5">
        <v>4.9648138680598359</v>
      </c>
      <c r="D5">
        <f t="shared" si="0"/>
        <v>4.5746838105089322</v>
      </c>
      <c r="F5">
        <v>0.75512409214069076</v>
      </c>
      <c r="G5">
        <v>0.95308348217148009</v>
      </c>
      <c r="I5" t="s">
        <v>17</v>
      </c>
      <c r="J5">
        <f>G3/G4</f>
        <v>10.083641645374223</v>
      </c>
      <c r="K5">
        <f>_xlfn.T.INV.2T(J7,COUNT($C$3:$C$23))</f>
        <v>2.07961384472768</v>
      </c>
      <c r="L5">
        <f>_xlfn.T.DIST.2T(J5,COUNT($C$3:$C$23))</f>
        <v>1.6741421386836688E-9</v>
      </c>
      <c r="M5" t="b">
        <f>ABS(J5)&gt;ABS(K5)</f>
        <v>1</v>
      </c>
    </row>
    <row r="6" spans="2:13" x14ac:dyDescent="0.25">
      <c r="B6">
        <f t="shared" si="1"/>
        <v>0.30000000000000004</v>
      </c>
      <c r="C6">
        <v>5.4970676246610628</v>
      </c>
      <c r="D6">
        <f t="shared" si="0"/>
        <v>4.8375886100104752</v>
      </c>
      <c r="F6">
        <v>58.590319791346055</v>
      </c>
      <c r="G6">
        <v>19</v>
      </c>
    </row>
    <row r="7" spans="2:13" x14ac:dyDescent="0.25">
      <c r="B7">
        <f t="shared" si="1"/>
        <v>0.4</v>
      </c>
      <c r="C7">
        <v>4.0229395771906482</v>
      </c>
      <c r="D7">
        <f t="shared" si="0"/>
        <v>5.1004934095120174</v>
      </c>
      <c r="F7">
        <v>53.221578872728685</v>
      </c>
      <c r="G7">
        <v>17.258994355774167</v>
      </c>
      <c r="I7" t="s">
        <v>20</v>
      </c>
      <c r="J7">
        <v>0.05</v>
      </c>
    </row>
    <row r="8" spans="2:13" x14ac:dyDescent="0.25">
      <c r="B8">
        <f t="shared" si="1"/>
        <v>0.5</v>
      </c>
      <c r="C8">
        <v>6.0041927004522497</v>
      </c>
      <c r="D8">
        <f t="shared" si="0"/>
        <v>5.3633982090135603</v>
      </c>
    </row>
    <row r="9" spans="2:13" x14ac:dyDescent="0.25">
      <c r="B9">
        <f t="shared" si="1"/>
        <v>0.6</v>
      </c>
      <c r="C9">
        <v>5.3646394120121084</v>
      </c>
      <c r="D9">
        <f t="shared" si="0"/>
        <v>5.6263030085151025</v>
      </c>
      <c r="F9" s="6" t="s">
        <v>4</v>
      </c>
      <c r="G9" s="7"/>
    </row>
    <row r="10" spans="2:13" x14ac:dyDescent="0.25">
      <c r="B10">
        <f t="shared" si="1"/>
        <v>0.7</v>
      </c>
      <c r="C10">
        <v>6.4</v>
      </c>
      <c r="D10">
        <f t="shared" si="0"/>
        <v>5.8892078080166446</v>
      </c>
      <c r="F10" s="1" t="s">
        <v>5</v>
      </c>
      <c r="G10" s="2" t="s">
        <v>6</v>
      </c>
    </row>
    <row r="11" spans="2:13" x14ac:dyDescent="0.25">
      <c r="B11">
        <f t="shared" si="1"/>
        <v>0.79999999999999993</v>
      </c>
      <c r="C11">
        <v>6.6</v>
      </c>
      <c r="D11">
        <f t="shared" si="0"/>
        <v>6.1521126075181876</v>
      </c>
      <c r="F11" s="1" t="s">
        <v>13</v>
      </c>
      <c r="G11" s="2" t="s">
        <v>14</v>
      </c>
    </row>
    <row r="12" spans="2:13" x14ac:dyDescent="0.25">
      <c r="B12">
        <f t="shared" si="1"/>
        <v>0.89999999999999991</v>
      </c>
      <c r="C12">
        <v>5.7910879409568485</v>
      </c>
      <c r="D12">
        <f t="shared" si="0"/>
        <v>6.4150174070197297</v>
      </c>
      <c r="F12" s="1" t="s">
        <v>7</v>
      </c>
      <c r="G12" s="2" t="s">
        <v>8</v>
      </c>
    </row>
    <row r="13" spans="2:13" x14ac:dyDescent="0.25">
      <c r="B13">
        <f t="shared" si="1"/>
        <v>0.99999999999999989</v>
      </c>
      <c r="C13">
        <v>5.2423104821952036</v>
      </c>
      <c r="D13">
        <f t="shared" si="0"/>
        <v>6.6779222065212718</v>
      </c>
      <c r="F13" s="1" t="s">
        <v>9</v>
      </c>
      <c r="G13" s="2" t="s">
        <v>10</v>
      </c>
    </row>
    <row r="14" spans="2:13" x14ac:dyDescent="0.25">
      <c r="B14">
        <f t="shared" si="1"/>
        <v>1.0999999999999999</v>
      </c>
      <c r="C14">
        <v>7.1999999999999993</v>
      </c>
      <c r="D14">
        <f t="shared" si="0"/>
        <v>6.9408270060228148</v>
      </c>
      <c r="F14" s="3" t="s">
        <v>11</v>
      </c>
      <c r="G14" s="4" t="s">
        <v>12</v>
      </c>
    </row>
    <row r="15" spans="2:13" x14ac:dyDescent="0.25">
      <c r="B15">
        <f t="shared" si="1"/>
        <v>1.2</v>
      </c>
      <c r="C15">
        <v>8.4997601637721409</v>
      </c>
      <c r="D15">
        <f t="shared" si="0"/>
        <v>7.2037318055243578</v>
      </c>
    </row>
    <row r="16" spans="2:13" x14ac:dyDescent="0.25">
      <c r="B16">
        <f t="shared" si="1"/>
        <v>1.3</v>
      </c>
      <c r="C16">
        <v>7.8782091402398198</v>
      </c>
      <c r="D16">
        <f t="shared" si="0"/>
        <v>7.4666366050259008</v>
      </c>
    </row>
    <row r="17" spans="2:4" x14ac:dyDescent="0.25">
      <c r="B17">
        <f t="shared" si="1"/>
        <v>1.4000000000000001</v>
      </c>
      <c r="C17">
        <v>7.8000000000000007</v>
      </c>
      <c r="D17">
        <f t="shared" si="0"/>
        <v>7.7295414045274438</v>
      </c>
    </row>
    <row r="18" spans="2:4" x14ac:dyDescent="0.25">
      <c r="B18">
        <f t="shared" si="1"/>
        <v>1.5000000000000002</v>
      </c>
      <c r="C18">
        <v>6.3857917683441485</v>
      </c>
      <c r="D18">
        <f t="shared" si="0"/>
        <v>7.9924462040289859</v>
      </c>
    </row>
    <row r="19" spans="2:4" x14ac:dyDescent="0.25">
      <c r="B19">
        <f t="shared" si="1"/>
        <v>1.6000000000000003</v>
      </c>
      <c r="C19">
        <v>6.4559771554688359</v>
      </c>
      <c r="D19">
        <f t="shared" si="0"/>
        <v>8.255351003530528</v>
      </c>
    </row>
    <row r="20" spans="2:4" x14ac:dyDescent="0.25">
      <c r="B20">
        <f>B19+0.1</f>
        <v>1.7000000000000004</v>
      </c>
      <c r="C20">
        <v>8.0866790201117098</v>
      </c>
      <c r="D20">
        <f t="shared" si="0"/>
        <v>8.5182558030320727</v>
      </c>
    </row>
    <row r="21" spans="2:4" x14ac:dyDescent="0.25">
      <c r="B21">
        <f t="shared" si="1"/>
        <v>1.8000000000000005</v>
      </c>
      <c r="C21">
        <v>10.200816729293541</v>
      </c>
      <c r="D21">
        <f t="shared" si="0"/>
        <v>8.781160602533614</v>
      </c>
    </row>
    <row r="22" spans="2:4" x14ac:dyDescent="0.25">
      <c r="B22">
        <f t="shared" si="1"/>
        <v>1.9000000000000006</v>
      </c>
      <c r="C22">
        <v>9.6075044620061991</v>
      </c>
      <c r="D22">
        <f t="shared" si="0"/>
        <v>9.044065402035157</v>
      </c>
    </row>
    <row r="23" spans="2:4" x14ac:dyDescent="0.25">
      <c r="B23">
        <f>B22+0.1</f>
        <v>2.0000000000000004</v>
      </c>
      <c r="C23">
        <v>9.8604446376772472</v>
      </c>
      <c r="D23">
        <f t="shared" si="0"/>
        <v>9.3069702015367</v>
      </c>
    </row>
  </sheetData>
  <mergeCells count="2">
    <mergeCell ref="F2:G2"/>
    <mergeCell ref="F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Parr</dc:creator>
  <cp:keywords/>
  <dc:description/>
  <cp:lastModifiedBy>Daniel Parr</cp:lastModifiedBy>
  <cp:revision/>
  <dcterms:created xsi:type="dcterms:W3CDTF">2026-03-19T01:05:52Z</dcterms:created>
  <dcterms:modified xsi:type="dcterms:W3CDTF">2026-04-30T22:52:40Z</dcterms:modified>
  <cp:category/>
  <cp:contentStatus/>
</cp:coreProperties>
</file>